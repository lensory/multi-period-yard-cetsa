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iuyu\IdeaProjects\apjor-yard-maven-back\linux\"/>
    </mc:Choice>
  </mc:AlternateContent>
  <xr:revisionPtr revIDLastSave="0" documentId="13_ncr:1_{DD28E15E-4B21-4C97-980F-B6266481EECB}" xr6:coauthVersionLast="47" xr6:coauthVersionMax="47" xr10:uidLastSave="{00000000-0000-0000-0000-000000000000}"/>
  <bookViews>
    <workbookView xWindow="-110" yWindow="-110" windowWidth="25820" windowHeight="15500" firstSheet="12" activeTab="17" xr2:uid="{00000000-000D-0000-FFFF-FFFF00000000}"/>
  </bookViews>
  <sheets>
    <sheet name="summary" sheetId="4" r:id="rId1"/>
    <sheet name="FCFS" sheetId="10" r:id="rId2"/>
    <sheet name="pivot" sheetId="5" r:id="rId3"/>
    <sheet name="clean stats" sheetId="6" r:id="rId4"/>
    <sheet name="comparison" sheetId="1" r:id="rId5"/>
    <sheet name="rule vs no rule" sheetId="7" r:id="rId6"/>
    <sheet name="rule vs cplex &amp; zhen" sheetId="8" r:id="rId7"/>
    <sheet name="rule vs fcfs" sheetId="12" r:id="rId8"/>
    <sheet name="better display" sheetId="13" r:id="rId9"/>
    <sheet name="model and algorithm" sheetId="14" r:id="rId10"/>
    <sheet name="Sheet1" sheetId="21" r:id="rId11"/>
    <sheet name="model simple" sheetId="16" r:id="rId12"/>
    <sheet name="model hard" sheetId="17" r:id="rId13"/>
    <sheet name="algorithm simple" sheetId="18" r:id="rId14"/>
    <sheet name="algorithm hard" sheetId="19" r:id="rId15"/>
    <sheet name="all results" sheetId="23" r:id="rId16"/>
    <sheet name="analyze all results" sheetId="25" r:id="rId17"/>
    <sheet name="Sheet7" sheetId="27" r:id="rId18"/>
  </sheets>
  <definedNames>
    <definedName name="ExternalData_1" localSheetId="1" hidden="1">FCFS!$A$1:$I$226</definedName>
    <definedName name="ExternalData_1" localSheetId="0" hidden="1">summary!$A$1:$N$634</definedName>
  </definedNames>
  <calcPr calcId="191029"/>
  <pivotCaches>
    <pivotCache cacheId="0" r:id="rId19"/>
    <pivotCache cacheId="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4" i="27" l="1"/>
  <c r="V24" i="27"/>
  <c r="U25" i="27"/>
  <c r="V25" i="27"/>
  <c r="U26" i="27"/>
  <c r="V26" i="27"/>
  <c r="U27" i="27"/>
  <c r="V27" i="27"/>
  <c r="U28" i="27"/>
  <c r="V28" i="27"/>
  <c r="U29" i="27"/>
  <c r="V29" i="27"/>
  <c r="U30" i="27"/>
  <c r="V30" i="27"/>
  <c r="U31" i="27"/>
  <c r="V31" i="27"/>
  <c r="U32" i="27"/>
  <c r="V32" i="27"/>
  <c r="U33" i="27"/>
  <c r="V33" i="27"/>
  <c r="U34" i="27"/>
  <c r="V34" i="27"/>
  <c r="U35" i="27"/>
  <c r="V35" i="27"/>
  <c r="U36" i="27"/>
  <c r="V36" i="27"/>
  <c r="U37" i="27"/>
  <c r="V37" i="27"/>
  <c r="V23" i="27"/>
  <c r="U23" i="27"/>
  <c r="Q24" i="27"/>
  <c r="Q25" i="27"/>
  <c r="Q26" i="27"/>
  <c r="Q27" i="27"/>
  <c r="Q28" i="27"/>
  <c r="Q29" i="27"/>
  <c r="Q30" i="27"/>
  <c r="Q31" i="27"/>
  <c r="Q32" i="27"/>
  <c r="Q33" i="27"/>
  <c r="Q34" i="27"/>
  <c r="Q35" i="27"/>
  <c r="Q36" i="27"/>
  <c r="Q37" i="27"/>
  <c r="Q23" i="27"/>
  <c r="J35" i="27"/>
  <c r="J36" i="27"/>
  <c r="J37" i="27"/>
  <c r="J38" i="27"/>
  <c r="J24" i="27"/>
  <c r="J25" i="27"/>
  <c r="J26" i="27"/>
  <c r="J27" i="27"/>
  <c r="J28" i="27"/>
  <c r="J29" i="27"/>
  <c r="J30" i="27"/>
  <c r="J31" i="27"/>
  <c r="J32" i="27"/>
  <c r="J33" i="27"/>
  <c r="J34" i="27"/>
  <c r="I33" i="27"/>
  <c r="I32" i="27"/>
  <c r="I31" i="27"/>
  <c r="I30" i="27"/>
  <c r="I29" i="27"/>
  <c r="I28" i="27"/>
  <c r="I27" i="27"/>
  <c r="I26" i="27"/>
  <c r="I25" i="27"/>
  <c r="I24" i="27"/>
  <c r="I35" i="27"/>
  <c r="I34" i="27"/>
  <c r="G33" i="27"/>
  <c r="G32" i="27"/>
  <c r="G31" i="27"/>
  <c r="G30" i="27"/>
  <c r="G29" i="27"/>
  <c r="G28" i="27"/>
  <c r="E28" i="27"/>
  <c r="G27" i="27"/>
  <c r="E27" i="27"/>
  <c r="G26" i="27"/>
  <c r="E26" i="27"/>
  <c r="G25" i="27"/>
  <c r="E25" i="27"/>
  <c r="G24" i="27"/>
  <c r="E24" i="27"/>
  <c r="G35" i="27"/>
  <c r="G34" i="27"/>
  <c r="E34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2" i="27"/>
  <c r="K2" i="27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2" i="27"/>
  <c r="E7" i="27"/>
  <c r="E8" i="27"/>
  <c r="E9" i="27"/>
  <c r="E10" i="27"/>
  <c r="E11" i="27"/>
  <c r="E2" i="27"/>
  <c r="K39" i="21"/>
  <c r="K40" i="21"/>
  <c r="K41" i="21"/>
  <c r="K42" i="21"/>
  <c r="K38" i="21"/>
  <c r="G39" i="21"/>
  <c r="G40" i="21"/>
  <c r="G41" i="21"/>
  <c r="G42" i="21"/>
  <c r="G38" i="21"/>
  <c r="I31" i="21"/>
  <c r="K31" i="21"/>
  <c r="L31" i="21"/>
  <c r="M31" i="21"/>
  <c r="N31" i="21"/>
  <c r="O31" i="21"/>
  <c r="Q31" i="21"/>
  <c r="R31" i="21"/>
  <c r="I32" i="21"/>
  <c r="K32" i="21"/>
  <c r="M32" i="21"/>
  <c r="N32" i="21"/>
  <c r="O32" i="21"/>
  <c r="Q32" i="21"/>
  <c r="R32" i="21"/>
  <c r="I33" i="21"/>
  <c r="M33" i="21"/>
  <c r="N33" i="21"/>
  <c r="O33" i="21"/>
  <c r="Q33" i="21"/>
  <c r="R33" i="21"/>
  <c r="I34" i="21"/>
  <c r="M34" i="21"/>
  <c r="N34" i="21"/>
  <c r="O34" i="21"/>
  <c r="Q34" i="21"/>
  <c r="R34" i="21"/>
  <c r="I35" i="21"/>
  <c r="M35" i="21"/>
  <c r="N35" i="21"/>
  <c r="O35" i="21"/>
  <c r="Q35" i="21"/>
  <c r="R35" i="21"/>
  <c r="D31" i="21"/>
  <c r="E31" i="21"/>
  <c r="F31" i="21"/>
  <c r="G31" i="21"/>
  <c r="D32" i="21"/>
  <c r="E32" i="21"/>
  <c r="F32" i="21"/>
  <c r="G32" i="21"/>
  <c r="E33" i="21"/>
  <c r="F33" i="21"/>
  <c r="G33" i="21"/>
  <c r="E34" i="21"/>
  <c r="F34" i="21"/>
  <c r="G34" i="21"/>
  <c r="E35" i="21"/>
  <c r="F35" i="21"/>
  <c r="G35" i="21"/>
  <c r="C35" i="21"/>
  <c r="C34" i="21"/>
  <c r="C33" i="21"/>
  <c r="C32" i="21"/>
  <c r="C31" i="21"/>
  <c r="P4" i="21"/>
  <c r="R4" i="21" s="1"/>
  <c r="P5" i="21"/>
  <c r="R5" i="21" s="1"/>
  <c r="P6" i="21"/>
  <c r="R6" i="21" s="1"/>
  <c r="P7" i="21"/>
  <c r="R7" i="21" s="1"/>
  <c r="P8" i="21"/>
  <c r="R8" i="21" s="1"/>
  <c r="P9" i="21"/>
  <c r="R9" i="21" s="1"/>
  <c r="P10" i="21"/>
  <c r="R10" i="21" s="1"/>
  <c r="P11" i="21"/>
  <c r="R11" i="21" s="1"/>
  <c r="P12" i="21"/>
  <c r="R12" i="21" s="1"/>
  <c r="P13" i="21"/>
  <c r="R13" i="21" s="1"/>
  <c r="P14" i="21"/>
  <c r="R14" i="21" s="1"/>
  <c r="P15" i="21"/>
  <c r="R15" i="21" s="1"/>
  <c r="P16" i="21"/>
  <c r="R16" i="21" s="1"/>
  <c r="P17" i="21"/>
  <c r="R17" i="21" s="1"/>
  <c r="P18" i="21"/>
  <c r="R18" i="21" s="1"/>
  <c r="P19" i="21"/>
  <c r="R19" i="21" s="1"/>
  <c r="P20" i="21"/>
  <c r="R20" i="21" s="1"/>
  <c r="P21" i="21"/>
  <c r="R21" i="21" s="1"/>
  <c r="P22" i="21"/>
  <c r="R22" i="21" s="1"/>
  <c r="P23" i="21"/>
  <c r="R23" i="21" s="1"/>
  <c r="P24" i="21"/>
  <c r="R24" i="21" s="1"/>
  <c r="P25" i="21"/>
  <c r="R25" i="21" s="1"/>
  <c r="P26" i="21"/>
  <c r="R26" i="21" s="1"/>
  <c r="P27" i="21"/>
  <c r="R27" i="21" s="1"/>
  <c r="P3" i="21"/>
  <c r="R3" i="21" s="1"/>
  <c r="H3" i="21"/>
  <c r="J3" i="21" s="1"/>
  <c r="H4" i="21"/>
  <c r="J4" i="21" s="1"/>
  <c r="H5" i="21"/>
  <c r="J5" i="21" s="1"/>
  <c r="H6" i="21"/>
  <c r="J6" i="21" s="1"/>
  <c r="H7" i="21"/>
  <c r="J7" i="21" s="1"/>
  <c r="H8" i="21"/>
  <c r="J8" i="21" s="1"/>
  <c r="H9" i="21"/>
  <c r="J9" i="21" s="1"/>
  <c r="H10" i="21"/>
  <c r="J10" i="21" s="1"/>
  <c r="H11" i="21"/>
  <c r="J11" i="21" s="1"/>
  <c r="H12" i="21"/>
  <c r="J12" i="21" s="1"/>
  <c r="H13" i="21"/>
  <c r="J13" i="21" s="1"/>
  <c r="H14" i="21"/>
  <c r="J14" i="21" s="1"/>
  <c r="H15" i="21"/>
  <c r="J15" i="21" s="1"/>
  <c r="H16" i="21"/>
  <c r="J16" i="21" s="1"/>
  <c r="H17" i="21"/>
  <c r="J17" i="21" s="1"/>
  <c r="H18" i="21"/>
  <c r="J18" i="21" s="1"/>
  <c r="H19" i="21"/>
  <c r="J19" i="21" s="1"/>
  <c r="H20" i="21"/>
  <c r="J20" i="21" s="1"/>
  <c r="H21" i="21"/>
  <c r="J21" i="21" s="1"/>
  <c r="H22" i="21"/>
  <c r="J22" i="21" s="1"/>
  <c r="H23" i="21"/>
  <c r="J23" i="21" s="1"/>
  <c r="H24" i="21"/>
  <c r="J24" i="21" s="1"/>
  <c r="H25" i="21"/>
  <c r="J25" i="21" s="1"/>
  <c r="H26" i="21"/>
  <c r="J26" i="21" s="1"/>
  <c r="H27" i="21"/>
  <c r="J27" i="21" s="1"/>
  <c r="M53" i="14"/>
  <c r="M52" i="14"/>
  <c r="H42" i="14"/>
  <c r="I42" i="14"/>
  <c r="J42" i="14"/>
  <c r="H43" i="14"/>
  <c r="I43" i="14"/>
  <c r="J43" i="14"/>
  <c r="H44" i="14"/>
  <c r="I44" i="14"/>
  <c r="J44" i="14"/>
  <c r="H45" i="14"/>
  <c r="I45" i="14"/>
  <c r="J45" i="14"/>
  <c r="H46" i="14"/>
  <c r="I46" i="14"/>
  <c r="J46" i="14"/>
  <c r="H47" i="14"/>
  <c r="I47" i="14"/>
  <c r="J47" i="14"/>
  <c r="H41" i="14"/>
  <c r="I41" i="14"/>
  <c r="J41" i="14"/>
  <c r="H39" i="14"/>
  <c r="I39" i="14"/>
  <c r="J39" i="14"/>
  <c r="H40" i="14"/>
  <c r="I40" i="14"/>
  <c r="J40" i="14"/>
  <c r="H38" i="14"/>
  <c r="I38" i="14"/>
  <c r="J38" i="14"/>
  <c r="H34" i="14"/>
  <c r="I34" i="14"/>
  <c r="J34" i="14"/>
  <c r="H35" i="14"/>
  <c r="I35" i="14"/>
  <c r="J35" i="14"/>
  <c r="H36" i="14"/>
  <c r="I36" i="14"/>
  <c r="J36" i="14"/>
  <c r="H37" i="14"/>
  <c r="I37" i="14"/>
  <c r="J37" i="14"/>
  <c r="J31" i="14"/>
  <c r="J32" i="14"/>
  <c r="I32" i="14"/>
  <c r="I33" i="14"/>
  <c r="J33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28" i="14"/>
  <c r="W29" i="14"/>
  <c r="W30" i="14"/>
  <c r="W31" i="14"/>
  <c r="W32" i="14"/>
  <c r="AC48" i="14"/>
  <c r="AD48" i="14"/>
  <c r="AC49" i="14"/>
  <c r="AD49" i="14"/>
  <c r="AC50" i="14"/>
  <c r="AD50" i="14"/>
  <c r="AC51" i="14"/>
  <c r="AD51" i="14"/>
  <c r="AC52" i="14"/>
  <c r="AD52" i="14"/>
  <c r="AC37" i="14"/>
  <c r="AD37" i="14"/>
  <c r="AC38" i="14"/>
  <c r="AD38" i="14"/>
  <c r="AC39" i="14"/>
  <c r="AD39" i="14"/>
  <c r="AC40" i="14"/>
  <c r="AD40" i="14"/>
  <c r="AC41" i="14"/>
  <c r="AD41" i="14"/>
  <c r="AC42" i="14"/>
  <c r="AD42" i="14"/>
  <c r="AC43" i="14"/>
  <c r="AD43" i="14"/>
  <c r="AC44" i="14"/>
  <c r="AD44" i="14"/>
  <c r="AC45" i="14"/>
  <c r="AD45" i="14"/>
  <c r="AC46" i="14"/>
  <c r="AD46" i="14"/>
  <c r="AC47" i="14"/>
  <c r="AD47" i="14"/>
  <c r="AC33" i="14"/>
  <c r="AD33" i="14"/>
  <c r="AC34" i="14"/>
  <c r="AD34" i="14"/>
  <c r="AC35" i="14"/>
  <c r="AD35" i="14"/>
  <c r="AC36" i="14"/>
  <c r="AD36" i="14"/>
  <c r="AD30" i="14"/>
  <c r="AD31" i="14"/>
  <c r="AD32" i="14"/>
  <c r="AC32" i="14"/>
  <c r="K47" i="14"/>
  <c r="L47" i="14"/>
  <c r="L43" i="14"/>
  <c r="L44" i="14"/>
  <c r="L45" i="14"/>
  <c r="L46" i="14"/>
  <c r="L34" i="14"/>
  <c r="L35" i="14"/>
  <c r="L36" i="14"/>
  <c r="L37" i="14"/>
  <c r="L33" i="14"/>
  <c r="K38" i="14"/>
  <c r="K39" i="14"/>
  <c r="K40" i="14"/>
  <c r="K41" i="14"/>
  <c r="K42" i="14"/>
  <c r="K43" i="14"/>
  <c r="K44" i="14"/>
  <c r="K45" i="14"/>
  <c r="K46" i="14"/>
  <c r="K48" i="14"/>
  <c r="K49" i="14"/>
  <c r="K50" i="14"/>
  <c r="K51" i="14"/>
  <c r="K52" i="14"/>
  <c r="K34" i="14"/>
  <c r="K35" i="14"/>
  <c r="K36" i="14"/>
  <c r="K37" i="14"/>
  <c r="K28" i="14"/>
  <c r="K29" i="14"/>
  <c r="K30" i="14"/>
  <c r="K31" i="14"/>
  <c r="K32" i="14"/>
  <c r="K33" i="14"/>
  <c r="H32" i="14"/>
  <c r="H33" i="14"/>
  <c r="Q33" i="14"/>
  <c r="Q34" i="14"/>
  <c r="Q35" i="14"/>
  <c r="Q36" i="14"/>
  <c r="Q37" i="14"/>
  <c r="Q28" i="14"/>
  <c r="Q29" i="14"/>
  <c r="Q30" i="14"/>
  <c r="Q31" i="14"/>
  <c r="Q32" i="14"/>
  <c r="I4" i="19"/>
  <c r="J4" i="19"/>
  <c r="I5" i="19"/>
  <c r="J5" i="19"/>
  <c r="I6" i="19"/>
  <c r="J6" i="19"/>
  <c r="I7" i="19"/>
  <c r="J7" i="19"/>
  <c r="I8" i="19"/>
  <c r="J8" i="19"/>
  <c r="I9" i="19"/>
  <c r="J9" i="19"/>
  <c r="I10" i="19"/>
  <c r="J10" i="19"/>
  <c r="I11" i="19"/>
  <c r="J11" i="19"/>
  <c r="I12" i="19"/>
  <c r="J12" i="19"/>
  <c r="I13" i="19"/>
  <c r="J13" i="19"/>
  <c r="I14" i="19"/>
  <c r="J14" i="19"/>
  <c r="I15" i="19"/>
  <c r="J15" i="19"/>
  <c r="I16" i="19"/>
  <c r="J16" i="19"/>
  <c r="I17" i="19"/>
  <c r="J17" i="19"/>
  <c r="I18" i="19"/>
  <c r="J18" i="19"/>
  <c r="I19" i="19"/>
  <c r="J19" i="19"/>
  <c r="I20" i="19"/>
  <c r="J20" i="19"/>
  <c r="I21" i="19"/>
  <c r="J21" i="19"/>
  <c r="I22" i="19"/>
  <c r="J22" i="19"/>
  <c r="I23" i="19"/>
  <c r="J23" i="19"/>
  <c r="I24" i="19"/>
  <c r="J24" i="19"/>
  <c r="I25" i="19"/>
  <c r="J25" i="19"/>
  <c r="I26" i="19"/>
  <c r="J26" i="19"/>
  <c r="I27" i="19"/>
  <c r="J27" i="19"/>
  <c r="J3" i="19"/>
  <c r="I3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62" i="14"/>
  <c r="W63" i="14"/>
  <c r="W64" i="14"/>
  <c r="W65" i="14"/>
  <c r="W66" i="14"/>
  <c r="W3" i="14"/>
  <c r="M27" i="17"/>
  <c r="M12" i="17"/>
  <c r="L27" i="17"/>
  <c r="K27" i="17"/>
  <c r="L12" i="17"/>
  <c r="K12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3" i="17"/>
  <c r="J4" i="17"/>
  <c r="J5" i="17"/>
  <c r="J6" i="17"/>
  <c r="J7" i="17"/>
  <c r="J8" i="17"/>
  <c r="J9" i="17"/>
  <c r="J10" i="17"/>
  <c r="J11" i="17"/>
  <c r="J12" i="17"/>
  <c r="J13" i="17"/>
  <c r="H4" i="14"/>
  <c r="I4" i="14"/>
  <c r="J4" i="14"/>
  <c r="H5" i="14"/>
  <c r="I5" i="14"/>
  <c r="J5" i="14"/>
  <c r="H6" i="14"/>
  <c r="I6" i="14"/>
  <c r="J6" i="14"/>
  <c r="H7" i="14"/>
  <c r="I7" i="14"/>
  <c r="J7" i="14"/>
  <c r="H8" i="14"/>
  <c r="I8" i="14"/>
  <c r="J8" i="14"/>
  <c r="H9" i="14"/>
  <c r="I9" i="14"/>
  <c r="J9" i="14"/>
  <c r="H10" i="14"/>
  <c r="I10" i="14"/>
  <c r="J10" i="14"/>
  <c r="H11" i="14"/>
  <c r="I11" i="14"/>
  <c r="J11" i="14"/>
  <c r="H12" i="14"/>
  <c r="I12" i="14"/>
  <c r="J12" i="14"/>
  <c r="H13" i="14"/>
  <c r="I13" i="14"/>
  <c r="J13" i="14"/>
  <c r="H14" i="14"/>
  <c r="I14" i="14"/>
  <c r="J14" i="14"/>
  <c r="H15" i="14"/>
  <c r="I15" i="14"/>
  <c r="J15" i="14"/>
  <c r="H16" i="14"/>
  <c r="I16" i="14"/>
  <c r="J16" i="14"/>
  <c r="H17" i="14"/>
  <c r="I17" i="14"/>
  <c r="J17" i="14"/>
  <c r="H18" i="14"/>
  <c r="I18" i="14"/>
  <c r="J18" i="14"/>
  <c r="H19" i="14"/>
  <c r="I19" i="14"/>
  <c r="J19" i="14"/>
  <c r="H20" i="14"/>
  <c r="I20" i="14"/>
  <c r="J20" i="14"/>
  <c r="H21" i="14"/>
  <c r="I21" i="14"/>
  <c r="J21" i="14"/>
  <c r="H22" i="14"/>
  <c r="I22" i="14"/>
  <c r="J22" i="14"/>
  <c r="H23" i="14"/>
  <c r="I23" i="14"/>
  <c r="J23" i="14"/>
  <c r="H24" i="14"/>
  <c r="I24" i="14"/>
  <c r="J24" i="14"/>
  <c r="H25" i="14"/>
  <c r="I25" i="14"/>
  <c r="J25" i="14"/>
  <c r="H26" i="14"/>
  <c r="I26" i="14"/>
  <c r="J26" i="14"/>
  <c r="H27" i="14"/>
  <c r="I27" i="14"/>
  <c r="J27" i="14"/>
  <c r="I28" i="14"/>
  <c r="J28" i="14"/>
  <c r="I29" i="14"/>
  <c r="J29" i="14"/>
  <c r="I30" i="14"/>
  <c r="J30" i="14"/>
  <c r="I31" i="14"/>
  <c r="I48" i="14"/>
  <c r="J48" i="14"/>
  <c r="I49" i="14"/>
  <c r="J49" i="14"/>
  <c r="I50" i="14"/>
  <c r="J50" i="14"/>
  <c r="I51" i="14"/>
  <c r="J51" i="14"/>
  <c r="I52" i="14"/>
  <c r="J52" i="14"/>
  <c r="H62" i="14"/>
  <c r="I62" i="14"/>
  <c r="J62" i="14"/>
  <c r="H63" i="14"/>
  <c r="I63" i="14"/>
  <c r="J63" i="14"/>
  <c r="H64" i="14"/>
  <c r="I64" i="14"/>
  <c r="J64" i="14"/>
  <c r="H65" i="14"/>
  <c r="I65" i="14"/>
  <c r="J65" i="14"/>
  <c r="H66" i="14"/>
  <c r="I66" i="14"/>
  <c r="J66" i="14"/>
  <c r="I67" i="14"/>
  <c r="J67" i="14"/>
  <c r="I68" i="14"/>
  <c r="J68" i="14"/>
  <c r="I69" i="14"/>
  <c r="J69" i="14"/>
  <c r="I70" i="14"/>
  <c r="J70" i="14"/>
  <c r="I71" i="14"/>
  <c r="J71" i="14"/>
  <c r="I3" i="14"/>
  <c r="J3" i="14"/>
  <c r="H3" i="14"/>
  <c r="T18" i="14"/>
  <c r="Q14" i="14"/>
  <c r="D86" i="14"/>
  <c r="J86" i="14" s="1"/>
  <c r="D85" i="14"/>
  <c r="I85" i="14" s="1"/>
  <c r="D84" i="14"/>
  <c r="D83" i="14"/>
  <c r="J83" i="14" s="1"/>
  <c r="D82" i="14"/>
  <c r="I82" i="14" s="1"/>
  <c r="D81" i="14"/>
  <c r="I81" i="14" s="1"/>
  <c r="D80" i="14"/>
  <c r="I80" i="14" s="1"/>
  <c r="D79" i="14"/>
  <c r="J79" i="14" s="1"/>
  <c r="D78" i="14"/>
  <c r="I78" i="14" s="1"/>
  <c r="D77" i="14"/>
  <c r="I77" i="14" s="1"/>
  <c r="D76" i="14"/>
  <c r="I76" i="14" s="1"/>
  <c r="D75" i="14"/>
  <c r="I75" i="14" s="1"/>
  <c r="D74" i="14"/>
  <c r="I74" i="14" s="1"/>
  <c r="D73" i="14"/>
  <c r="I73" i="14" s="1"/>
  <c r="D72" i="14"/>
  <c r="I72" i="14" s="1"/>
  <c r="AD29" i="14"/>
  <c r="AD28" i="14"/>
  <c r="AC29" i="14"/>
  <c r="AC30" i="14"/>
  <c r="AC31" i="14"/>
  <c r="AC28" i="14"/>
  <c r="AD86" i="14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D70" i="14"/>
  <c r="AD69" i="14"/>
  <c r="AD68" i="14"/>
  <c r="AD67" i="14"/>
  <c r="AD66" i="14"/>
  <c r="AD65" i="14"/>
  <c r="AD64" i="14"/>
  <c r="AD63" i="14"/>
  <c r="AD62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AD3" i="14"/>
  <c r="R86" i="14"/>
  <c r="R85" i="14"/>
  <c r="R84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3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R27" i="14"/>
  <c r="R52" i="14"/>
  <c r="R51" i="14"/>
  <c r="R50" i="14"/>
  <c r="R49" i="14"/>
  <c r="R48" i="14"/>
  <c r="R42" i="14"/>
  <c r="R41" i="14"/>
  <c r="R40" i="14"/>
  <c r="R39" i="14"/>
  <c r="R38" i="14"/>
  <c r="R32" i="14"/>
  <c r="R31" i="14"/>
  <c r="R30" i="14"/>
  <c r="R29" i="14"/>
  <c r="R28" i="14"/>
  <c r="Q52" i="14"/>
  <c r="Q51" i="14"/>
  <c r="Q50" i="14"/>
  <c r="Q49" i="14"/>
  <c r="Q48" i="14"/>
  <c r="Q42" i="14"/>
  <c r="Q41" i="14"/>
  <c r="Q40" i="14"/>
  <c r="Q39" i="14"/>
  <c r="Q38" i="14"/>
  <c r="L23" i="14"/>
  <c r="H52" i="14"/>
  <c r="H51" i="14"/>
  <c r="H50" i="14"/>
  <c r="H49" i="14"/>
  <c r="H48" i="14"/>
  <c r="H31" i="14"/>
  <c r="H30" i="14"/>
  <c r="H29" i="14"/>
  <c r="H28" i="14"/>
  <c r="T19" i="14"/>
  <c r="T20" i="14"/>
  <c r="T21" i="14"/>
  <c r="T22" i="14"/>
  <c r="T23" i="14"/>
  <c r="T24" i="14"/>
  <c r="T25" i="14"/>
  <c r="T26" i="14"/>
  <c r="T27" i="14"/>
  <c r="T63" i="14"/>
  <c r="T64" i="14"/>
  <c r="T65" i="14"/>
  <c r="T66" i="14"/>
  <c r="T62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62" i="14"/>
  <c r="R63" i="14"/>
  <c r="R64" i="14"/>
  <c r="R65" i="14"/>
  <c r="R66" i="14"/>
  <c r="Q4" i="14"/>
  <c r="Q5" i="14"/>
  <c r="Q6" i="14"/>
  <c r="Q7" i="14"/>
  <c r="Q8" i="14"/>
  <c r="Q9" i="14"/>
  <c r="Q10" i="14"/>
  <c r="Q11" i="14"/>
  <c r="Q12" i="14"/>
  <c r="Q13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62" i="14"/>
  <c r="Q63" i="14"/>
  <c r="Q64" i="14"/>
  <c r="Q65" i="14"/>
  <c r="Q66" i="14"/>
  <c r="Q3" i="14"/>
  <c r="E86" i="14"/>
  <c r="W86" i="14" s="1"/>
  <c r="E85" i="14"/>
  <c r="W85" i="14" s="1"/>
  <c r="E84" i="14"/>
  <c r="W84" i="14" s="1"/>
  <c r="E83" i="14"/>
  <c r="W83" i="14" s="1"/>
  <c r="E82" i="14"/>
  <c r="E81" i="14"/>
  <c r="W81" i="14" s="1"/>
  <c r="E80" i="14"/>
  <c r="E79" i="14"/>
  <c r="E78" i="14"/>
  <c r="W78" i="14" s="1"/>
  <c r="E77" i="14"/>
  <c r="W77" i="14" s="1"/>
  <c r="E76" i="14"/>
  <c r="W76" i="14" s="1"/>
  <c r="E75" i="14"/>
  <c r="W75" i="14" s="1"/>
  <c r="E74" i="14"/>
  <c r="E73" i="14"/>
  <c r="W73" i="14" s="1"/>
  <c r="E72" i="14"/>
  <c r="E71" i="14"/>
  <c r="H71" i="14" s="1"/>
  <c r="E70" i="14"/>
  <c r="H70" i="14" s="1"/>
  <c r="E69" i="14"/>
  <c r="H69" i="14" s="1"/>
  <c r="E68" i="14"/>
  <c r="H68" i="14" s="1"/>
  <c r="E67" i="14"/>
  <c r="H67" i="14" s="1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Q3" i="12"/>
  <c r="AQ4" i="12"/>
  <c r="AQ5" i="12"/>
  <c r="AQ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I3" i="12"/>
  <c r="Y4" i="12"/>
  <c r="Z4" i="12"/>
  <c r="Y5" i="12"/>
  <c r="Y6" i="12"/>
  <c r="Y7" i="12"/>
  <c r="Y8" i="12"/>
  <c r="Z8" i="12"/>
  <c r="Y9" i="12"/>
  <c r="Z9" i="12"/>
  <c r="Y10" i="12"/>
  <c r="Y11" i="12"/>
  <c r="Z11" i="12"/>
  <c r="Y12" i="12"/>
  <c r="Z12" i="12"/>
  <c r="Y13" i="12"/>
  <c r="Z13" i="12"/>
  <c r="Y14" i="12"/>
  <c r="Z14" i="12"/>
  <c r="Y15" i="12"/>
  <c r="Z15" i="12"/>
  <c r="Y16" i="12"/>
  <c r="Z16" i="12"/>
  <c r="Y17" i="12"/>
  <c r="Z17" i="12"/>
  <c r="Y18" i="12"/>
  <c r="Z18" i="12"/>
  <c r="Y19" i="12"/>
  <c r="Z19" i="12"/>
  <c r="Y20" i="12"/>
  <c r="Z20" i="12"/>
  <c r="Y21" i="12"/>
  <c r="Z21" i="12"/>
  <c r="Y22" i="12"/>
  <c r="Z22" i="12"/>
  <c r="Y23" i="12"/>
  <c r="Z23" i="12"/>
  <c r="Y24" i="12"/>
  <c r="Z24" i="12"/>
  <c r="Y25" i="12"/>
  <c r="Z25" i="12"/>
  <c r="Y26" i="12"/>
  <c r="Z26" i="12"/>
  <c r="Y27" i="12"/>
  <c r="Z27" i="12"/>
  <c r="Y28" i="12"/>
  <c r="Z28" i="12"/>
  <c r="Y29" i="12"/>
  <c r="Z29" i="12"/>
  <c r="Y30" i="12"/>
  <c r="Z30" i="12"/>
  <c r="Y31" i="12"/>
  <c r="Z31" i="12"/>
  <c r="Y32" i="12"/>
  <c r="Z32" i="12"/>
  <c r="Y33" i="12"/>
  <c r="Z33" i="12"/>
  <c r="Y34" i="12"/>
  <c r="Z34" i="12"/>
  <c r="Y35" i="12"/>
  <c r="Z35" i="12"/>
  <c r="Y36" i="12"/>
  <c r="Z36" i="12"/>
  <c r="Y37" i="12"/>
  <c r="Z37" i="12"/>
  <c r="Y38" i="12"/>
  <c r="Z38" i="12"/>
  <c r="Y39" i="12"/>
  <c r="Z39" i="12"/>
  <c r="Y40" i="12"/>
  <c r="Z40" i="12"/>
  <c r="Y41" i="12"/>
  <c r="Z41" i="12"/>
  <c r="Y42" i="12"/>
  <c r="Z42" i="12"/>
  <c r="Y43" i="12"/>
  <c r="Z43" i="12"/>
  <c r="Y44" i="12"/>
  <c r="Z44" i="12"/>
  <c r="Y45" i="12"/>
  <c r="Z45" i="12"/>
  <c r="Y46" i="12"/>
  <c r="Z46" i="12"/>
  <c r="Y47" i="12"/>
  <c r="Z47" i="12"/>
  <c r="Y48" i="12"/>
  <c r="Z48" i="12"/>
  <c r="Y49" i="12"/>
  <c r="Z49" i="12"/>
  <c r="Y50" i="12"/>
  <c r="Z50" i="12"/>
  <c r="Y51" i="12"/>
  <c r="Z51" i="12"/>
  <c r="Y52" i="12"/>
  <c r="Z52" i="12"/>
  <c r="Y3" i="12"/>
  <c r="Z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3" i="12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T3" i="8"/>
  <c r="T4" i="8"/>
  <c r="T5" i="8"/>
  <c r="T6" i="8"/>
  <c r="T7" i="8"/>
  <c r="H3" i="8"/>
  <c r="P27" i="8"/>
  <c r="O27" i="8"/>
  <c r="T27" i="8" s="1"/>
  <c r="P26" i="8"/>
  <c r="O26" i="8"/>
  <c r="T26" i="8" s="1"/>
  <c r="P25" i="8"/>
  <c r="O25" i="8"/>
  <c r="T25" i="8" s="1"/>
  <c r="P24" i="8"/>
  <c r="O24" i="8"/>
  <c r="T24" i="8" s="1"/>
  <c r="P23" i="8"/>
  <c r="O23" i="8"/>
  <c r="T23" i="8" s="1"/>
  <c r="P22" i="8"/>
  <c r="O22" i="8"/>
  <c r="T22" i="8" s="1"/>
  <c r="P21" i="8"/>
  <c r="O21" i="8"/>
  <c r="T21" i="8" s="1"/>
  <c r="P20" i="8"/>
  <c r="O20" i="8"/>
  <c r="T20" i="8" s="1"/>
  <c r="P19" i="8"/>
  <c r="O19" i="8"/>
  <c r="T19" i="8" s="1"/>
  <c r="P18" i="8"/>
  <c r="O18" i="8"/>
  <c r="T18" i="8" s="1"/>
  <c r="P17" i="8"/>
  <c r="O17" i="8"/>
  <c r="T17" i="8" s="1"/>
  <c r="P16" i="8"/>
  <c r="O16" i="8"/>
  <c r="T16" i="8" s="1"/>
  <c r="P15" i="8"/>
  <c r="O15" i="8"/>
  <c r="T15" i="8" s="1"/>
  <c r="P14" i="8"/>
  <c r="O14" i="8"/>
  <c r="T14" i="8" s="1"/>
  <c r="P13" i="8"/>
  <c r="O13" i="8"/>
  <c r="T13" i="8" s="1"/>
  <c r="P12" i="8"/>
  <c r="O12" i="8"/>
  <c r="T12" i="8" s="1"/>
  <c r="P11" i="8"/>
  <c r="O11" i="8"/>
  <c r="T11" i="8" s="1"/>
  <c r="P10" i="8"/>
  <c r="O10" i="8"/>
  <c r="T10" i="8" s="1"/>
  <c r="P9" i="8"/>
  <c r="O9" i="8"/>
  <c r="T9" i="8" s="1"/>
  <c r="P8" i="8"/>
  <c r="O8" i="8"/>
  <c r="T8" i="8" s="1"/>
  <c r="S8" i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G3" i="7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4" i="1"/>
  <c r="S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H53" i="1"/>
  <c r="Q53" i="1" s="1"/>
  <c r="H52" i="1"/>
  <c r="Q52" i="1" s="1"/>
  <c r="H51" i="1"/>
  <c r="Q51" i="1" s="1"/>
  <c r="H50" i="1"/>
  <c r="Q50" i="1" s="1"/>
  <c r="H49" i="1"/>
  <c r="Q49" i="1" s="1"/>
  <c r="H48" i="1"/>
  <c r="Q48" i="1" s="1"/>
  <c r="H47" i="1"/>
  <c r="Q47" i="1" s="1"/>
  <c r="H46" i="1"/>
  <c r="Q46" i="1" s="1"/>
  <c r="H45" i="1"/>
  <c r="Q45" i="1" s="1"/>
  <c r="H44" i="1"/>
  <c r="Q44" i="1" s="1"/>
  <c r="H43" i="1"/>
  <c r="Q43" i="1" s="1"/>
  <c r="H42" i="1"/>
  <c r="Q42" i="1" s="1"/>
  <c r="H41" i="1"/>
  <c r="Q41" i="1" s="1"/>
  <c r="H40" i="1"/>
  <c r="Q40" i="1" s="1"/>
  <c r="H39" i="1"/>
  <c r="Q39" i="1" s="1"/>
  <c r="H38" i="1"/>
  <c r="Q38" i="1" s="1"/>
  <c r="H37" i="1"/>
  <c r="Q37" i="1" s="1"/>
  <c r="H36" i="1"/>
  <c r="Q36" i="1" s="1"/>
  <c r="H35" i="1"/>
  <c r="Q35" i="1" s="1"/>
  <c r="H34" i="1"/>
  <c r="Q34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5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H72" i="14" l="1"/>
  <c r="H74" i="14"/>
  <c r="J85" i="14"/>
  <c r="H80" i="14"/>
  <c r="H82" i="14"/>
  <c r="W48" i="14"/>
  <c r="W74" i="14"/>
  <c r="I86" i="14"/>
  <c r="H86" i="14"/>
  <c r="W72" i="14"/>
  <c r="W71" i="14"/>
  <c r="H85" i="14"/>
  <c r="W70" i="14"/>
  <c r="I79" i="14"/>
  <c r="W69" i="14"/>
  <c r="W68" i="14"/>
  <c r="W67" i="14"/>
  <c r="H79" i="14"/>
  <c r="W82" i="14"/>
  <c r="H84" i="14"/>
  <c r="W52" i="14"/>
  <c r="W80" i="14"/>
  <c r="W51" i="14"/>
  <c r="W79" i="14"/>
  <c r="W50" i="14"/>
  <c r="W49" i="14"/>
  <c r="H75" i="14"/>
  <c r="I83" i="14"/>
  <c r="J80" i="14"/>
  <c r="H81" i="14"/>
  <c r="H73" i="14"/>
  <c r="J76" i="14"/>
  <c r="H76" i="14"/>
  <c r="J84" i="14"/>
  <c r="H77" i="14"/>
  <c r="H78" i="14"/>
  <c r="I84" i="14"/>
  <c r="J82" i="14"/>
  <c r="J75" i="14"/>
  <c r="H83" i="14"/>
  <c r="J81" i="14"/>
  <c r="J77" i="14"/>
  <c r="J74" i="14"/>
  <c r="J73" i="14"/>
  <c r="J72" i="14"/>
  <c r="J78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FF4F38-60FC-44AD-97CE-0C24F6027E77}" keepAlive="1" name="查询 - FCFS" description="与工作簿中“FCFS”查询的连接。" type="5" refreshedVersion="7" background="1" saveData="1">
    <dbPr connection="Provider=Microsoft.Mashup.OleDb.1;Data Source=$Workbook$;Location=FCFS;Extended Properties=&quot;&quot;" command="SELECT * FROM [FCFS]"/>
  </connection>
  <connection id="2" xr16:uid="{922A7B54-6916-4301-A3CB-EBD30CDF6DE9}" keepAlive="1" name="查询 - summary" description="与工作簿中“summary”查询的连接。" type="5" refreshedVersion="7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<sst xmlns="http://schemas.openxmlformats.org/spreadsheetml/2006/main" count="8121" uniqueCount="1983">
  <si>
    <t>instance</t>
  </si>
  <si>
    <t>ships</t>
  </si>
  <si>
    <t>yard</t>
  </si>
  <si>
    <t>seed</t>
  </si>
  <si>
    <t>testTime</t>
  </si>
  <si>
    <t>objCongestion</t>
  </si>
  <si>
    <t>solverName</t>
  </si>
  <si>
    <t>obj</t>
  </si>
  <si>
    <t>solverStartTime</t>
  </si>
  <si>
    <t>gap</t>
  </si>
  <si>
    <t>objTime</t>
  </si>
  <si>
    <t>time</t>
  </si>
  <si>
    <t>objRoute</t>
  </si>
  <si>
    <t>02-00-01</t>
  </si>
  <si>
    <t>06-01</t>
  </si>
  <si>
    <t>cplexIntegrated</t>
  </si>
  <si>
    <t>decomposedNeighborhoodSearch</t>
  </si>
  <si>
    <t>decomposedRandom</t>
  </si>
  <si>
    <t>04-00-02</t>
  </si>
  <si>
    <t>06-02</t>
  </si>
  <si>
    <t>04-01-01</t>
  </si>
  <si>
    <t>06-00-03</t>
  </si>
  <si>
    <t>06-03</t>
  </si>
  <si>
    <t>08-00-04</t>
  </si>
  <si>
    <t>06-04</t>
  </si>
  <si>
    <t>08-02-02</t>
  </si>
  <si>
    <t>10-00-05</t>
  </si>
  <si>
    <t>06-05</t>
  </si>
  <si>
    <t>12-03-03</t>
  </si>
  <si>
    <t>06-06</t>
  </si>
  <si>
    <t>16-04-04</t>
  </si>
  <si>
    <t>06-08</t>
  </si>
  <si>
    <t>20-05-05</t>
  </si>
  <si>
    <t>06-10</t>
  </si>
  <si>
    <t>solver</t>
  </si>
  <si>
    <t>improve/cplex</t>
    <phoneticPr fontId="2" type="noConversion"/>
  </si>
  <si>
    <t>improve/random</t>
    <phoneticPr fontId="2" type="noConversion"/>
  </si>
  <si>
    <t>ID</t>
    <phoneticPr fontId="2" type="noConversion"/>
  </si>
  <si>
    <t>Scale</t>
    <phoneticPr fontId="2" type="noConversion"/>
  </si>
  <si>
    <t>CPLEX</t>
    <phoneticPr fontId="2" type="noConversion"/>
  </si>
  <si>
    <t>CETSA</t>
    <phoneticPr fontId="2" type="noConversion"/>
  </si>
  <si>
    <t>TSA</t>
    <phoneticPr fontId="2" type="noConversion"/>
  </si>
  <si>
    <t>3 vessels and 20 subblocks</t>
  </si>
  <si>
    <t>6 vessels and 40 subblocks</t>
  </si>
  <si>
    <t>9 vessels and 60 subblocks</t>
  </si>
  <si>
    <t>12 vessels and 80 subblocks</t>
  </si>
  <si>
    <t>15 vessels and 100 subblocks</t>
  </si>
  <si>
    <t>18 vessels and 120 subblocks</t>
  </si>
  <si>
    <t>24 vessels and 160 subblocks</t>
  </si>
  <si>
    <t>30 vessels and 200 subblocks</t>
  </si>
  <si>
    <t>3_20_1</t>
  </si>
  <si>
    <t>3_20_2</t>
  </si>
  <si>
    <t>3_20_3</t>
  </si>
  <si>
    <t>3_20_4</t>
  </si>
  <si>
    <t>3_20_5</t>
  </si>
  <si>
    <t>6_40_1</t>
  </si>
  <si>
    <t>6_40_2</t>
  </si>
  <si>
    <t>6_40_3</t>
  </si>
  <si>
    <t>6_40_4</t>
  </si>
  <si>
    <t>6_40_5</t>
  </si>
  <si>
    <t>9_60_1</t>
  </si>
  <si>
    <t>9_60_2</t>
  </si>
  <si>
    <t>9_60_3</t>
  </si>
  <si>
    <t>9_60_4</t>
  </si>
  <si>
    <t>9_60_5</t>
  </si>
  <si>
    <t>12_80_1</t>
  </si>
  <si>
    <t>12_80_2</t>
  </si>
  <si>
    <t>12_80_3</t>
  </si>
  <si>
    <t>12_80_4</t>
  </si>
  <si>
    <t>12_80_5</t>
  </si>
  <si>
    <t>15_100_1</t>
  </si>
  <si>
    <t>15_100_2</t>
  </si>
  <si>
    <t>15_100_3</t>
  </si>
  <si>
    <t>15_100_4</t>
  </si>
  <si>
    <t>15_100_5</t>
  </si>
  <si>
    <t>18_120_1</t>
  </si>
  <si>
    <t>18_120_2</t>
  </si>
  <si>
    <t>18_120_3</t>
  </si>
  <si>
    <t>18_120_4</t>
  </si>
  <si>
    <t>18_120_5</t>
  </si>
  <si>
    <t>24_160_1</t>
  </si>
  <si>
    <t>24_160_2</t>
  </si>
  <si>
    <t>24_160_3</t>
  </si>
  <si>
    <t>24_160_4</t>
  </si>
  <si>
    <t>24_160_5</t>
  </si>
  <si>
    <t>30_200_1</t>
  </si>
  <si>
    <t>30_200_2</t>
  </si>
  <si>
    <t>30_200_3</t>
  </si>
  <si>
    <t>30_200_4</t>
  </si>
  <si>
    <t>30_200_5</t>
  </si>
  <si>
    <t>Instances</t>
    <phoneticPr fontId="2" type="noConversion"/>
  </si>
  <si>
    <t>Comparison</t>
    <phoneticPr fontId="2" type="noConversion"/>
  </si>
  <si>
    <t>gap</t>
    <phoneticPr fontId="2" type="noConversion"/>
  </si>
  <si>
    <t>solution_{02-00-01}_{06-01}_01_cplexIntegrated_20250831T163527958</t>
  </si>
  <si>
    <t>20250831T163527958</t>
  </si>
  <si>
    <t>20250831 16:35:27</t>
  </si>
  <si>
    <t>solution_{02-00-01}_{06-01}_01_decomposedNeighborhoodSearch_20250831T021148494</t>
  </si>
  <si>
    <t>20250831T021148494</t>
  </si>
  <si>
    <t>20250831 02:11:48</t>
  </si>
  <si>
    <t>solution_{02-00-01}_{06-01}_01_decomposedRandom_20250831T021232464</t>
  </si>
  <si>
    <t>20250831T021232464</t>
  </si>
  <si>
    <t>20250831 02:12:32</t>
  </si>
  <si>
    <t>localRefinement</t>
  </si>
  <si>
    <t>solution_{02-00-01}_{06-01}_01_localRefinement_20250831T131027197</t>
  </si>
  <si>
    <t>20250831T131027197</t>
  </si>
  <si>
    <t>20250831 13:10:27</t>
  </si>
  <si>
    <t>solution_{02-00-01}_{06-01}_02_cplexIntegrated_20250831T163527958</t>
  </si>
  <si>
    <t>solution_{02-00-01}_{06-01}_02_decomposedNeighborhoodSearch_20250831T021148494</t>
  </si>
  <si>
    <t>solution_{02-00-01}_{06-01}_02_decomposedRandom_20250831T021232464</t>
  </si>
  <si>
    <t>solution_{02-00-01}_{06-01}_02_localRefinement_20250831T131027197</t>
  </si>
  <si>
    <t>solution_{02-00-01}_{06-01}_03_cplexIntegrated_20250831T163527958</t>
  </si>
  <si>
    <t>solution_{02-00-01}_{06-01}_03_decomposedNeighborhoodSearch_20250831T021148494</t>
  </si>
  <si>
    <t>solution_{02-00-01}_{06-01}_03_decomposedRandom_20250831T021232464</t>
  </si>
  <si>
    <t>solution_{02-00-01}_{06-01}_03_localRefinement_20250831T131027197</t>
  </si>
  <si>
    <t>solution_{02-00-01}_{06-01}_04_cplexIntegrated_20250831T163527958</t>
  </si>
  <si>
    <t>solution_{02-00-01}_{06-01}_04_decomposedNeighborhoodSearch_20250831T021148494</t>
  </si>
  <si>
    <t>solution_{02-00-01}_{06-01}_04_decomposedRandom_20250831T021232464</t>
  </si>
  <si>
    <t>solution_{02-00-01}_{06-01}_04_localRefinement_20250831T131027197</t>
  </si>
  <si>
    <t>solution_{02-00-01}_{06-01}_05_cplexIntegrated_20250831T163528876</t>
  </si>
  <si>
    <t>20250831T163528876</t>
  </si>
  <si>
    <t>20250831 16:35:28</t>
  </si>
  <si>
    <t>solution_{02-00-01}_{06-01}_05_decomposedNeighborhoodSearch_20250831T021404398</t>
  </si>
  <si>
    <t>20250831T021404398</t>
  </si>
  <si>
    <t>20250831 02:14:04</t>
  </si>
  <si>
    <t>solution_{02-00-01}_{06-01}_05_decomposedRandom_20250831T022309288</t>
  </si>
  <si>
    <t>20250831T022309288</t>
  </si>
  <si>
    <t>20250831 02:23:09</t>
  </si>
  <si>
    <t>solution_{02-00-01}_{06-01}_05_localRefinement_20250831T141027295</t>
  </si>
  <si>
    <t>20250831T141027295</t>
  </si>
  <si>
    <t>20250831 14:10:27</t>
  </si>
  <si>
    <t>solution_{04-00-02}_{06-02}_01_cplexIntegrated_20250831T163530264</t>
  </si>
  <si>
    <t>20250831T163530264</t>
  </si>
  <si>
    <t>20250831 16:35:30</t>
  </si>
  <si>
    <t>solution_{04-00-02}_{06-02}_01_decomposedNeighborhoodSearch_20250831T022418717</t>
  </si>
  <si>
    <t>20250831T022418717</t>
  </si>
  <si>
    <t>20250831 02:24:18</t>
  </si>
  <si>
    <t>solution_{04-00-02}_{06-02}_01_decomposedRandom_20250831T023823596</t>
  </si>
  <si>
    <t>20250831T023823596</t>
  </si>
  <si>
    <t>20250831 02:38:23</t>
  </si>
  <si>
    <t>solution_{04-00-02}_{06-02}_01_localRefinement_20250831T141027295</t>
  </si>
  <si>
    <t>solution_{04-00-02}_{06-02}_02_cplexIntegrated_20250831T163530416</t>
  </si>
  <si>
    <t>20250831T163530416</t>
  </si>
  <si>
    <t>solution_{04-00-02}_{06-02}_02_decomposedNeighborhoodSearch_20250831T022452876</t>
  </si>
  <si>
    <t>20250831T022452876</t>
  </si>
  <si>
    <t>20250831 02:24:52</t>
  </si>
  <si>
    <t>solution_{04-00-02}_{06-02}_02_decomposedRandom_20250831T024555019</t>
  </si>
  <si>
    <t>20250831T024555019</t>
  </si>
  <si>
    <t>20250831 02:45:55</t>
  </si>
  <si>
    <t>solution_{04-00-02}_{06-02}_02_localRefinement_20250831T141027295</t>
  </si>
  <si>
    <t>solution_{04-00-02}_{06-02}_03_cplexIntegrated_20250831T163530471</t>
  </si>
  <si>
    <t>20250831T163530471</t>
  </si>
  <si>
    <t>solution_{04-00-02}_{06-02}_03_decomposedNeighborhoodSearch_20250831T022552544</t>
  </si>
  <si>
    <t>20250831T022552544</t>
  </si>
  <si>
    <t>20250831 02:25:52</t>
  </si>
  <si>
    <t>solution_{04-00-02}_{06-02}_03_decomposedRandom_20250831T025448266</t>
  </si>
  <si>
    <t>20250831T025448266</t>
  </si>
  <si>
    <t>20250831 02:54:48</t>
  </si>
  <si>
    <t>solution_{04-00-02}_{06-02}_03_localRefinement_20250831T141027298</t>
  </si>
  <si>
    <t>20250831T141027298</t>
  </si>
  <si>
    <t>solution_{04-00-02}_{06-02}_04_cplexIntegrated_20250831T163532881</t>
  </si>
  <si>
    <t>20250831T163532881</t>
  </si>
  <si>
    <t>20250831 16:35:32</t>
  </si>
  <si>
    <t>solution_{04-00-02}_{06-02}_04_decomposedNeighborhoodSearch_20250831T024132673</t>
  </si>
  <si>
    <t>20250831T024132673</t>
  </si>
  <si>
    <t>20250831 02:41:32</t>
  </si>
  <si>
    <t>solution_{04-00-02}_{06-02}_04_decomposedRandom_20250831T031232532</t>
  </si>
  <si>
    <t>20250831T031232532</t>
  </si>
  <si>
    <t>20250831 03:12:32</t>
  </si>
  <si>
    <t>solution_{04-00-02}_{06-02}_04_localRefinement_20250831T151027314</t>
  </si>
  <si>
    <t>20250831T151027314</t>
  </si>
  <si>
    <t>20250831 15:10:27</t>
  </si>
  <si>
    <t>solution_{04-00-02}_{06-02}_05_cplexIntegrated_20250831T163858371</t>
  </si>
  <si>
    <t>20250831T163858371</t>
  </si>
  <si>
    <t>20250831 16:38:58</t>
  </si>
  <si>
    <t>solution_{04-00-02}_{06-02}_05_decomposedNeighborhoodSearch_20250831T032419134</t>
  </si>
  <si>
    <t>20250831T032419134</t>
  </si>
  <si>
    <t>20250831 03:24:19</t>
  </si>
  <si>
    <t>solution_{04-00-02}_{06-02}_05_decomposedRandom_20250831T033823793</t>
  </si>
  <si>
    <t>20250831T033823793</t>
  </si>
  <si>
    <t>20250831 03:38:23</t>
  </si>
  <si>
    <t>solution_{04-00-02}_{06-02}_05_localRefinement_20250831T151027393</t>
  </si>
  <si>
    <t>20250831T151027393</t>
  </si>
  <si>
    <t>solution_{04-01-01}_{06-02}_01_cplexIntegrated_20250831T203928212</t>
  </si>
  <si>
    <t>20250831T203928212</t>
  </si>
  <si>
    <t>20250831 20:39:28</t>
  </si>
  <si>
    <t>solution_{04-01-01}_{06-02}_01_decomposedNeighborhoodSearch_20250831T072420444</t>
  </si>
  <si>
    <t>20250831T072420444</t>
  </si>
  <si>
    <t>20250831 07:24:20</t>
  </si>
  <si>
    <t>solution_{04-01-01}_{06-02}_01_decomposedRandom_20250831T073825342</t>
  </si>
  <si>
    <t>20250831T073825342</t>
  </si>
  <si>
    <t>20250831 07:38:25</t>
  </si>
  <si>
    <t>solution_{04-01-01}_{06-02}_01_localRefinement_20250831T191029375</t>
  </si>
  <si>
    <t>20250831T191029375</t>
  </si>
  <si>
    <t>20250831 19:10:29</t>
  </si>
  <si>
    <t>solution_{04-01-01}_{06-02}_02_cplexIntegrated_20250831T204941431</t>
  </si>
  <si>
    <t>20250831T204941431</t>
  </si>
  <si>
    <t>20250831 20:49:41</t>
  </si>
  <si>
    <t>solution_{04-01-01}_{06-02}_02_decomposedNeighborhoodSearch_20250831T072453956</t>
  </si>
  <si>
    <t>20250831T072453956</t>
  </si>
  <si>
    <t>20250831 07:24:53</t>
  </si>
  <si>
    <t>solution_{04-01-01}_{06-02}_02_decomposedRandom_20250831T074555915</t>
  </si>
  <si>
    <t>20250831T074555915</t>
  </si>
  <si>
    <t>20250831 07:45:55</t>
  </si>
  <si>
    <t>solution_{04-01-01}_{06-02}_02_localRefinement_20250831T191032098</t>
  </si>
  <si>
    <t>20250831T191032098</t>
  </si>
  <si>
    <t>20250831 19:10:32</t>
  </si>
  <si>
    <t>solution_{04-01-01}_{06-02}_03_cplexIntegrated_20250831T213610119</t>
  </si>
  <si>
    <t>20250831T213610119</t>
  </si>
  <si>
    <t>20250831 21:36:10</t>
  </si>
  <si>
    <t>solution_{04-01-01}_{06-02}_03_decomposedNeighborhoodSearch_20250831T072555610</t>
  </si>
  <si>
    <t>20250831T072555610</t>
  </si>
  <si>
    <t>20250831 07:25:55</t>
  </si>
  <si>
    <t>solution_{04-01-01}_{06-02}_03_decomposedRandom_20250831T075449344</t>
  </si>
  <si>
    <t>20250831T075449344</t>
  </si>
  <si>
    <t>20250831 07:54:49</t>
  </si>
  <si>
    <t>solution_{04-01-01}_{06-02}_03_localRefinement_20250831T191032141</t>
  </si>
  <si>
    <t>20250831T191032141</t>
  </si>
  <si>
    <t>solution_{04-01-01}_{06-02}_04_cplexIntegrated_20250831T213620690</t>
  </si>
  <si>
    <t>20250831T213620690</t>
  </si>
  <si>
    <t>20250831 21:36:20</t>
  </si>
  <si>
    <t>solution_{04-01-01}_{06-02}_04_decomposedNeighborhoodSearch_20250831T074135390</t>
  </si>
  <si>
    <t>20250831T074135390</t>
  </si>
  <si>
    <t>20250831 07:41:35</t>
  </si>
  <si>
    <t>solution_{04-01-01}_{06-02}_04_decomposedRandom_20250831T081234904</t>
  </si>
  <si>
    <t>20250831T081234904</t>
  </si>
  <si>
    <t>20250831 08:12:34</t>
  </si>
  <si>
    <t>solution_{04-01-01}_{06-02}_04_localRefinement_20250831T201029962</t>
  </si>
  <si>
    <t>20250831T201029962</t>
  </si>
  <si>
    <t>20250831 20:10:29</t>
  </si>
  <si>
    <t>solution_{04-01-01}_{06-02}_05_cplexIntegrated_20250831T213933525</t>
  </si>
  <si>
    <t>20250831T213933525</t>
  </si>
  <si>
    <t>20250831 21:39:33</t>
  </si>
  <si>
    <t>solution_{04-01-01}_{06-02}_05_decomposedNeighborhoodSearch_20250831T082422791</t>
  </si>
  <si>
    <t>20250831T082422791</t>
  </si>
  <si>
    <t>20250831 08:24:22</t>
  </si>
  <si>
    <t>solution_{04-01-01}_{06-02}_05_decomposedRandom_20250831T083827152</t>
  </si>
  <si>
    <t>20250831T083827152</t>
  </si>
  <si>
    <t>20250831 08:38:27</t>
  </si>
  <si>
    <t>solution_{04-01-01}_{06-02}_05_localRefinement_20250831T201030068</t>
  </si>
  <si>
    <t>20250831T201030068</t>
  </si>
  <si>
    <t>20250831 20:10:30</t>
  </si>
  <si>
    <t>solution_{06-00-03}_{06-03}_01_cplexIntegrated_20250831T164910892</t>
  </si>
  <si>
    <t>20250831T164910892</t>
  </si>
  <si>
    <t>20250831 16:49:10</t>
  </si>
  <si>
    <t>solution_{06-00-03}_{06-03}_01_decomposedNeighborhoodSearch_20250831T032452935</t>
  </si>
  <si>
    <t>20250831T032452935</t>
  </si>
  <si>
    <t>20250831 03:24:52</t>
  </si>
  <si>
    <t>solution_{06-00-03}_{06-03}_01_decomposedRandom_20250831T034555129</t>
  </si>
  <si>
    <t>20250831T034555129</t>
  </si>
  <si>
    <t>20250831 03:45:55</t>
  </si>
  <si>
    <t>solution_{06-00-03}_{06-03}_01_localRefinement_20250831T151027400</t>
  </si>
  <si>
    <t>20250831T151027400</t>
  </si>
  <si>
    <t>solution_{06-00-03}_{06-03}_02_cplexIntegrated_20250831T173531622</t>
  </si>
  <si>
    <t>20250831T173531622</t>
  </si>
  <si>
    <t>20250831 17:35:31</t>
  </si>
  <si>
    <t>solution_{06-00-03}_{06-03}_02_decomposedNeighborhoodSearch_20250831T032553062</t>
  </si>
  <si>
    <t>20250831T032553062</t>
  </si>
  <si>
    <t>20250831 03:25:53</t>
  </si>
  <si>
    <t>solution_{06-00-03}_{06-03}_02_decomposedRandom_20250831T035448325</t>
  </si>
  <si>
    <t>20250831T035448325</t>
  </si>
  <si>
    <t>20250831 03:54:48</t>
  </si>
  <si>
    <t>solution_{06-00-03}_{06-03}_02_localRefinement_20250831T151027422</t>
  </si>
  <si>
    <t>20250831T151027422</t>
  </si>
  <si>
    <t>solution_{06-00-03}_{06-03}_03_cplexIntegrated_20250831T173533901</t>
  </si>
  <si>
    <t>20250831T173533901</t>
  </si>
  <si>
    <t>20250831 17:35:33</t>
  </si>
  <si>
    <t>solution_{06-00-03}_{06-03}_03_decomposedNeighborhoodSearch_20250831T034132792</t>
  </si>
  <si>
    <t>20250831T034132792</t>
  </si>
  <si>
    <t>20250831 03:41:32</t>
  </si>
  <si>
    <t>solution_{06-00-03}_{06-03}_03_decomposedRandom_20250831T041233300</t>
  </si>
  <si>
    <t>20250831T041233300</t>
  </si>
  <si>
    <t>20250831 04:12:33</t>
  </si>
  <si>
    <t>solution_{06-00-03}_{06-03}_03_localRefinement_20250831T161027407</t>
  </si>
  <si>
    <t>20250831T161027407</t>
  </si>
  <si>
    <t>20250831 16:10:27</t>
  </si>
  <si>
    <t>solution_{06-00-03}_{06-03}_04_cplexIntegrated_20250831T173859412</t>
  </si>
  <si>
    <t>20250831T173859412</t>
  </si>
  <si>
    <t>20250831 17:38:59</t>
  </si>
  <si>
    <t>solution_{06-00-03}_{06-03}_04_decomposedNeighborhoodSearch_20250831T042419412</t>
  </si>
  <si>
    <t>20250831T042419412</t>
  </si>
  <si>
    <t>20250831 04:24:19</t>
  </si>
  <si>
    <t>solution_{06-00-03}_{06-03}_04_decomposedRandom_20250831T043823881</t>
  </si>
  <si>
    <t>20250831T043823881</t>
  </si>
  <si>
    <t>20250831 04:38:23</t>
  </si>
  <si>
    <t>solution_{06-00-03}_{06-03}_04_localRefinement_20250831T161027516</t>
  </si>
  <si>
    <t>20250831T161027516</t>
  </si>
  <si>
    <t>solution_{06-00-03}_{06-03}_05_cplexIntegrated_20250831T174914470</t>
  </si>
  <si>
    <t>20250831T174914470</t>
  </si>
  <si>
    <t>20250831 17:49:14</t>
  </si>
  <si>
    <t>solution_{06-00-03}_{06-03}_05_decomposedNeighborhoodSearch_20250831T042453462</t>
  </si>
  <si>
    <t>20250831T042453462</t>
  </si>
  <si>
    <t>20250831 04:24:53</t>
  </si>
  <si>
    <t>solution_{06-00-03}_{06-03}_05_decomposedRandom_20250831T044555225</t>
  </si>
  <si>
    <t>20250831T044555225</t>
  </si>
  <si>
    <t>20250831 04:45:55</t>
  </si>
  <si>
    <t>solution_{06-00-03}_{06-03}_05_localRefinement_20250831T161027624</t>
  </si>
  <si>
    <t>20250831T161027624</t>
  </si>
  <si>
    <t>solution_{08-00-04}_{06-04}_01_cplexIntegrated_20250831T183535234</t>
  </si>
  <si>
    <t>20250831T183535234</t>
  </si>
  <si>
    <t>20250831 18:35:35</t>
  </si>
  <si>
    <t>solution_{08-00-04}_{06-04}_01_decomposedNeighborhoodSearch_20250831T042553587</t>
  </si>
  <si>
    <t>20250831T042553587</t>
  </si>
  <si>
    <t>20250831 04:25:53</t>
  </si>
  <si>
    <t>solution_{08-00-04}_{06-04}_01_decomposedRandom_20250831T045448407</t>
  </si>
  <si>
    <t>20250831T045448407</t>
  </si>
  <si>
    <t>20250831 04:54:48</t>
  </si>
  <si>
    <t>solution_{08-00-04}_{06-04}_01_localRefinement_20250831T161030375</t>
  </si>
  <si>
    <t>20250831T161030375</t>
  </si>
  <si>
    <t>20250831 16:10:30</t>
  </si>
  <si>
    <t>solution_{08-00-04}_{06-04}_02_cplexIntegrated_20250831T183537426</t>
  </si>
  <si>
    <t>20250831T183537426</t>
  </si>
  <si>
    <t>20250831 18:35:37</t>
  </si>
  <si>
    <t>solution_{08-00-04}_{06-04}_02_decomposedNeighborhoodSearch_20250831T044133059</t>
  </si>
  <si>
    <t>20250831T044133059</t>
  </si>
  <si>
    <t>20250831 04:41:33</t>
  </si>
  <si>
    <t>solution_{08-00-04}_{06-04}_02_decomposedRandom_20250831T051233951</t>
  </si>
  <si>
    <t>20250831T051233951</t>
  </si>
  <si>
    <t>20250831 05:12:33</t>
  </si>
  <si>
    <t>solution_{08-00-04}_{06-04}_02_localRefinement_20250831T171027806</t>
  </si>
  <si>
    <t>20250831T171027806</t>
  </si>
  <si>
    <t>20250831 17:10:27</t>
  </si>
  <si>
    <t>solution_{08-00-04}_{06-04}_03_cplexIntegrated_20250831T183902868</t>
  </si>
  <si>
    <t>20250831T183902868</t>
  </si>
  <si>
    <t>20250831 18:39:02</t>
  </si>
  <si>
    <t>solution_{08-00-04}_{06-04}_03_decomposedNeighborhoodSearch_20250831T052419980</t>
  </si>
  <si>
    <t>20250831T052419980</t>
  </si>
  <si>
    <t>20250831 05:24:19</t>
  </si>
  <si>
    <t>solution_{08-00-04}_{06-04}_03_decomposedRandom_20250831T053824392</t>
  </si>
  <si>
    <t>20250831T053824392</t>
  </si>
  <si>
    <t>20250831 05:38:24</t>
  </si>
  <si>
    <t>solution_{08-00-04}_{06-04}_03_localRefinement_20250831T171027876</t>
  </si>
  <si>
    <t>20250831T171027876</t>
  </si>
  <si>
    <t>solution_{08-00-04}_{06-04}_04_cplexIntegrated_20250831T184917391</t>
  </si>
  <si>
    <t>20250831T184917391</t>
  </si>
  <si>
    <t>20250831 18:49:17</t>
  </si>
  <si>
    <t>solution_{08-00-04}_{06-04}_04_decomposedNeighborhoodSearch_20250831T052453518</t>
  </si>
  <si>
    <t>20250831T052453518</t>
  </si>
  <si>
    <t>20250831 05:24:53</t>
  </si>
  <si>
    <t>solution_{08-00-04}_{06-04}_04_decomposedRandom_20250831T054555409</t>
  </si>
  <si>
    <t>20250831T054555409</t>
  </si>
  <si>
    <t>20250831 05:45:55</t>
  </si>
  <si>
    <t>solution_{08-00-04}_{06-04}_04_localRefinement_20250831T171030807</t>
  </si>
  <si>
    <t>20250831T171030807</t>
  </si>
  <si>
    <t>20250831 17:10:30</t>
  </si>
  <si>
    <t>solution_{08-00-04}_{06-04}_05_cplexIntegrated_20250831T193543859</t>
  </si>
  <si>
    <t>20250831T193543859</t>
  </si>
  <si>
    <t>20250831 19:35:43</t>
  </si>
  <si>
    <t>solution_{08-00-04}_{06-04}_05_decomposedNeighborhoodSearch_20250831T052554347</t>
  </si>
  <si>
    <t>20250831T052554347</t>
  </si>
  <si>
    <t>20250831 05:25:54</t>
  </si>
  <si>
    <t>solution_{08-00-04}_{06-04}_05_decomposedRandom_20250831T055448641</t>
  </si>
  <si>
    <t>20250831T055448641</t>
  </si>
  <si>
    <t>20250831 05:54:48</t>
  </si>
  <si>
    <t>solution_{08-00-04}_{06-04}_05_localRefinement_20250831T171030895</t>
  </si>
  <si>
    <t>20250831T171030895</t>
  </si>
  <si>
    <t>solution_{08-02-02}_{06-04}_01_decomposedNeighborhoodSearch_20250831T082455433</t>
  </si>
  <si>
    <t>20250831T082455433</t>
  </si>
  <si>
    <t>20250831 08:24:55</t>
  </si>
  <si>
    <t>solution_{08-02-02}_{06-04}_01_decomposedRandom_20250831T084556852</t>
  </si>
  <si>
    <t>20250831T084556852</t>
  </si>
  <si>
    <t>20250831 08:45:56</t>
  </si>
  <si>
    <t>solution_{08-02-02}_{06-04}_01_localRefinement_20250831T201032788</t>
  </si>
  <si>
    <t>20250831T201032788</t>
  </si>
  <si>
    <t>20250831 20:10:32</t>
  </si>
  <si>
    <t>solution_{08-02-02}_{06-04}_02_decomposedNeighborhoodSearch_20250831T082556019</t>
  </si>
  <si>
    <t>20250831T082556019</t>
  </si>
  <si>
    <t>20250831 08:25:56</t>
  </si>
  <si>
    <t>solution_{08-02-02}_{06-04}_02_decomposedRandom_20250831T085450027</t>
  </si>
  <si>
    <t>20250831T085450027</t>
  </si>
  <si>
    <t>20250831 08:54:50</t>
  </si>
  <si>
    <t>solution_{08-02-02}_{06-04}_02_localRefinement_20250831T201033074</t>
  </si>
  <si>
    <t>20250831T201033074</t>
  </si>
  <si>
    <t>20250831 20:10:33</t>
  </si>
  <si>
    <t>solution_{08-02-02}_{06-04}_03_decomposedNeighborhoodSearch_20250831T084135648</t>
  </si>
  <si>
    <t>20250831T084135648</t>
  </si>
  <si>
    <t>20250831 08:41:35</t>
  </si>
  <si>
    <t>solution_{08-02-02}_{06-04}_03_decomposedRandom_20250831T091235049</t>
  </si>
  <si>
    <t>20250831T091235049</t>
  </si>
  <si>
    <t>20250831 09:12:35</t>
  </si>
  <si>
    <t>solution_{08-02-02}_{06-04}_03_localRefinement_20250831T211030679</t>
  </si>
  <si>
    <t>20250831T211030679</t>
  </si>
  <si>
    <t>20250831 21:10:30</t>
  </si>
  <si>
    <t>solution_{08-02-02}_{06-04}_04_decomposedNeighborhoodSearch_20250831T092423618</t>
  </si>
  <si>
    <t>20250831T092423618</t>
  </si>
  <si>
    <t>20250831 09:24:23</t>
  </si>
  <si>
    <t>solution_{08-02-02}_{06-04}_04_decomposedRandom_20250831T093829279</t>
  </si>
  <si>
    <t>20250831T093829279</t>
  </si>
  <si>
    <t>20250831 09:38:29</t>
  </si>
  <si>
    <t>solution_{08-02-02}_{06-04}_04_localRefinement_20250831T211030800</t>
  </si>
  <si>
    <t>20250831T211030800</t>
  </si>
  <si>
    <t>solution_{08-02-02}_{06-04}_05_decomposedNeighborhoodSearch_20250831T092455689</t>
  </si>
  <si>
    <t>20250831T092455689</t>
  </si>
  <si>
    <t>20250831 09:24:55</t>
  </si>
  <si>
    <t>solution_{08-02-02}_{06-04}_05_decomposedRandom_20250831T094557808</t>
  </si>
  <si>
    <t>20250831T094557808</t>
  </si>
  <si>
    <t>20250831 09:45:57</t>
  </si>
  <si>
    <t>solution_{08-02-02}_{06-04}_05_localRefinement_20250831T211036248</t>
  </si>
  <si>
    <t>20250831T211036248</t>
  </si>
  <si>
    <t>20250831 21:10:36</t>
  </si>
  <si>
    <t>solution_{10-00-05}_{06-05}_01_cplexIntegrated_20250831T193545812</t>
  </si>
  <si>
    <t>20250831T193545812</t>
  </si>
  <si>
    <t>20250831 19:35:45</t>
  </si>
  <si>
    <t>solution_{10-00-05}_{06-05}_01_decomposedNeighborhoodSearch_20250831T054134071</t>
  </si>
  <si>
    <t>20250831T054134071</t>
  </si>
  <si>
    <t>20250831 05:41:34</t>
  </si>
  <si>
    <t>solution_{10-00-05}_{06-05}_01_decomposedRandom_20250831T061234021</t>
  </si>
  <si>
    <t>20250831T061234021</t>
  </si>
  <si>
    <t>20250831 06:12:34</t>
  </si>
  <si>
    <t>solution_{10-00-05}_{06-05}_01_localRefinement_20250831T181028283</t>
  </si>
  <si>
    <t>20250831T181028283</t>
  </si>
  <si>
    <t>20250831 18:10:28</t>
  </si>
  <si>
    <t>solution_{10-00-05}_{06-05}_02_cplexIntegrated_20250831T193910816</t>
  </si>
  <si>
    <t>20250831T193910816</t>
  </si>
  <si>
    <t>20250831 19:39:10</t>
  </si>
  <si>
    <t>solution_{10-00-05}_{06-05}_02_decomposedNeighborhoodSearch_20250831T062420341</t>
  </si>
  <si>
    <t>20250831T062420341</t>
  </si>
  <si>
    <t>20250831 06:24:20</t>
  </si>
  <si>
    <t>solution_{10-00-05}_{06-05}_02_decomposedRandom_20250831T063825236</t>
  </si>
  <si>
    <t>20250831T063825236</t>
  </si>
  <si>
    <t>20250831 06:38:25</t>
  </si>
  <si>
    <t>solution_{10-00-05}_{06-05}_02_localRefinement_20250831T181028355</t>
  </si>
  <si>
    <t>20250831T181028355</t>
  </si>
  <si>
    <t>solution_{10-00-05}_{06-05}_03_cplexIntegrated_20250831T194925511</t>
  </si>
  <si>
    <t>20250831T194925511</t>
  </si>
  <si>
    <t>20250831 19:49:25</t>
  </si>
  <si>
    <t>solution_{10-00-05}_{06-05}_03_decomposedNeighborhoodSearch_20250831T062453746</t>
  </si>
  <si>
    <t>20250831T062453746</t>
  </si>
  <si>
    <t>20250831 06:24:53</t>
  </si>
  <si>
    <t>solution_{10-00-05}_{06-05}_03_decomposedRandom_20250831T064555481</t>
  </si>
  <si>
    <t>20250831T064555481</t>
  </si>
  <si>
    <t>20250831 06:45:55</t>
  </si>
  <si>
    <t>solution_{10-00-05}_{06-05}_03_localRefinement_20250831T181031265</t>
  </si>
  <si>
    <t>20250831T181031265</t>
  </si>
  <si>
    <t>20250831 18:10:31</t>
  </si>
  <si>
    <t>solution_{10-00-05}_{06-05}_04_cplexIntegrated_20250831T203553111</t>
  </si>
  <si>
    <t>20250831T203553111</t>
  </si>
  <si>
    <t>20250831 20:35:53</t>
  </si>
  <si>
    <t>solution_{10-00-05}_{06-05}_04_decomposedNeighborhoodSearch_20250831T062554716</t>
  </si>
  <si>
    <t>20250831T062554716</t>
  </si>
  <si>
    <t>20250831 06:25:54</t>
  </si>
  <si>
    <t>solution_{10-00-05}_{06-05}_04_decomposedRandom_20250831T065448732</t>
  </si>
  <si>
    <t>20250831T065448732</t>
  </si>
  <si>
    <t>20250831 06:54:48</t>
  </si>
  <si>
    <t>solution_{10-00-05}_{06-05}_04_localRefinement_20250831T181031340</t>
  </si>
  <si>
    <t>20250831T181031340</t>
  </si>
  <si>
    <t>solution_{10-00-05}_{06-05}_05_cplexIntegrated_20250831T203603383</t>
  </si>
  <si>
    <t>20250831T203603383</t>
  </si>
  <si>
    <t>20250831 20:36:03</t>
  </si>
  <si>
    <t>solution_{10-00-05}_{06-05}_05_decomposedNeighborhoodSearch_20250831T064134996</t>
  </si>
  <si>
    <t>20250831T064134996</t>
  </si>
  <si>
    <t>20250831 06:41:34</t>
  </si>
  <si>
    <t>solution_{10-00-05}_{06-05}_05_decomposedRandom_20250831T071234229</t>
  </si>
  <si>
    <t>20250831T071234229</t>
  </si>
  <si>
    <t>20250831 07:12:34</t>
  </si>
  <si>
    <t>solution_{10-00-05}_{06-05}_05_localRefinement_20250831T191029014</t>
  </si>
  <si>
    <t>20250831T191029014</t>
  </si>
  <si>
    <t>solution_{12-03-03}_{06-06}_01_decomposedNeighborhoodSearch_20250831T092556550</t>
  </si>
  <si>
    <t>20250831T092556550</t>
  </si>
  <si>
    <t>20250831 09:25:56</t>
  </si>
  <si>
    <t>solution_{12-03-03}_{06-06}_01_decomposedRandom_20250831T095457113</t>
  </si>
  <si>
    <t>20250831T095457113</t>
  </si>
  <si>
    <t>20250831 09:54:57</t>
  </si>
  <si>
    <t>solution_{12-03-03}_{06-06}_01_localRefinement_20250831T211036422</t>
  </si>
  <si>
    <t>20250831T211036422</t>
  </si>
  <si>
    <t>solution_{12-03-03}_{06-06}_02_decomposedNeighborhoodSearch_20250831T094136899</t>
  </si>
  <si>
    <t>20250831T094136899</t>
  </si>
  <si>
    <t>20250831 09:41:36</t>
  </si>
  <si>
    <t>solution_{12-03-03}_{06-06}_02_decomposedRandom_20250831T101236330</t>
  </si>
  <si>
    <t>20250831T101236330</t>
  </si>
  <si>
    <t>20250831 10:12:36</t>
  </si>
  <si>
    <t>solution_{12-03-03}_{06-06}_02_localRefinement_20250831T221034460</t>
  </si>
  <si>
    <t>20250831T221034460</t>
  </si>
  <si>
    <t>20250831 22:10:34</t>
  </si>
  <si>
    <t>solution_{12-03-03}_{06-06}_03_decomposedNeighborhoodSearch_20250831T102424559</t>
  </si>
  <si>
    <t>20250831T102424559</t>
  </si>
  <si>
    <t>20250831 10:24:24</t>
  </si>
  <si>
    <t>solution_{12-03-03}_{06-06}_03_decomposedRandom_20250831T103842266</t>
  </si>
  <si>
    <t>20250831T103842266</t>
  </si>
  <si>
    <t>20250831 10:38:42</t>
  </si>
  <si>
    <t>solution_{12-03-03}_{06-06}_03_localRefinement_20250831T221034708</t>
  </si>
  <si>
    <t>20250831T221034708</t>
  </si>
  <si>
    <t>solution_{12-03-03}_{06-06}_04_decomposedNeighborhoodSearch_20250831T102502073</t>
  </si>
  <si>
    <t>20250831T102502073</t>
  </si>
  <si>
    <t>20250831 10:25:02</t>
  </si>
  <si>
    <t>solution_{12-03-03}_{06-06}_04_decomposedRandom_20250831T104559552</t>
  </si>
  <si>
    <t>20250831T104559552</t>
  </si>
  <si>
    <t>20250831 10:45:59</t>
  </si>
  <si>
    <t>solution_{12-03-03}_{06-06}_04_localRefinement_20250831T221037346</t>
  </si>
  <si>
    <t>20250831T221037346</t>
  </si>
  <si>
    <t>20250831 22:10:37</t>
  </si>
  <si>
    <t>solution_{12-03-03}_{06-06}_05_decomposedNeighborhoodSearch_20250831T102558647</t>
  </si>
  <si>
    <t>20250831T102558647</t>
  </si>
  <si>
    <t>20250831 10:25:58</t>
  </si>
  <si>
    <t>solution_{12-03-03}_{06-06}_05_decomposedRandom_20250831T105458159</t>
  </si>
  <si>
    <t>20250831T105458159</t>
  </si>
  <si>
    <t>20250831 10:54:58</t>
  </si>
  <si>
    <t>solution_{12-03-03}_{06-06}_05_localRefinement_20250831T221039729</t>
  </si>
  <si>
    <t>20250831T221039729</t>
  </si>
  <si>
    <t>20250831 22:10:39</t>
  </si>
  <si>
    <t>solution_{16-04-04}_{06-08}_01_decomposedNeighborhoodSearch_20250831T104138371</t>
  </si>
  <si>
    <t>20250831T104138371</t>
  </si>
  <si>
    <t>20250831 10:41:38</t>
  </si>
  <si>
    <t>solution_{16-04-04}_{06-08}_01_decomposedRandom_20250831T111337274</t>
  </si>
  <si>
    <t>20250831T111337274</t>
  </si>
  <si>
    <t>20250831 11:13:37</t>
  </si>
  <si>
    <t>solution_{16-04-04}_{06-08}_01_localRefinement_20250831T231044024</t>
  </si>
  <si>
    <t>20250831T231044024</t>
  </si>
  <si>
    <t>20250831 23:10:44</t>
  </si>
  <si>
    <t>solution_{16-04-04}_{06-08}_02_decomposedNeighborhoodSearch_20250831T112426255</t>
  </si>
  <si>
    <t>20250831T112426255</t>
  </si>
  <si>
    <t>20250831 11:24:26</t>
  </si>
  <si>
    <t>solution_{16-04-04}_{06-08}_02_decomposedRandom_20250831T113843094</t>
  </si>
  <si>
    <t>20250831T113843094</t>
  </si>
  <si>
    <t>20250831 11:38:43</t>
  </si>
  <si>
    <t>solution_{16-04-04}_{06-08}_02_localRefinement_20250831T231044416</t>
  </si>
  <si>
    <t>20250831T231044416</t>
  </si>
  <si>
    <t>solution_{16-04-04}_{06-08}_03_decomposedNeighborhoodSearch_20250831T112502952</t>
  </si>
  <si>
    <t>20250831T112502952</t>
  </si>
  <si>
    <t>20250831 11:25:02</t>
  </si>
  <si>
    <t>solution_{16-04-04}_{06-08}_03_decomposedRandom_20250831T114603113</t>
  </si>
  <si>
    <t>20250831T114603113</t>
  </si>
  <si>
    <t>20250831 11:46:03</t>
  </si>
  <si>
    <t>solution_{16-04-04}_{06-08}_03_localRefinement_20250831T231047380</t>
  </si>
  <si>
    <t>20250831T231047380</t>
  </si>
  <si>
    <t>20250831 23:10:47</t>
  </si>
  <si>
    <t>solution_{16-04-04}_{06-08}_04_decomposedNeighborhoodSearch_20250831T112600708</t>
  </si>
  <si>
    <t>20250831T112600708</t>
  </si>
  <si>
    <t>20250831 11:26:00</t>
  </si>
  <si>
    <t>solution_{16-04-04}_{06-08}_04_decomposedRandom_20250831T115506982</t>
  </si>
  <si>
    <t>20250831T115506982</t>
  </si>
  <si>
    <t>20250831 11:55:06</t>
  </si>
  <si>
    <t>solution_{16-04-04}_{06-08}_04_localRefinement_20250831T231049556</t>
  </si>
  <si>
    <t>20250831T231049556</t>
  </si>
  <si>
    <t>20250831 23:10:49</t>
  </si>
  <si>
    <t>solution_{16-04-04}_{06-08}_05_decomposedNeighborhoodSearch_20250831T114141066</t>
  </si>
  <si>
    <t>20250831T114141066</t>
  </si>
  <si>
    <t>20250831 11:41:41</t>
  </si>
  <si>
    <t>solution_{16-04-04}_{06-08}_05_decomposedRandom_20250831T121339371</t>
  </si>
  <si>
    <t>20250831T121339371</t>
  </si>
  <si>
    <t>20250831 12:13:39</t>
  </si>
  <si>
    <t>solution_{16-04-04}_{06-08}_05_localRefinement_20250901T001108037</t>
  </si>
  <si>
    <t>20250901T001108037</t>
  </si>
  <si>
    <t>20250901 00:11:08</t>
  </si>
  <si>
    <t>solution_{20-05-05}_{06-10}_01_decomposedNeighborhoodSearch_20250831T122428205</t>
  </si>
  <si>
    <t>20250831T122428205</t>
  </si>
  <si>
    <t>20250831 12:24:28</t>
  </si>
  <si>
    <t>solution_{20-05-05}_{06-10}_01_decomposedRandom_20250831T123843885</t>
  </si>
  <si>
    <t>20250831T123843885</t>
  </si>
  <si>
    <t>20250831 12:38:43</t>
  </si>
  <si>
    <t>solution_{20-05-05}_{06-10}_01_localRefinement_20250901T001108653</t>
  </si>
  <si>
    <t>20250901T001108653</t>
  </si>
  <si>
    <t>solution_{20-05-05}_{06-10}_02_decomposedNeighborhoodSearch_20250831T122505054</t>
  </si>
  <si>
    <t>20250831T122505054</t>
  </si>
  <si>
    <t>20250831 12:25:05</t>
  </si>
  <si>
    <t>solution_{20-05-05}_{06-10}_02_decomposedRandom_20250831T124605004</t>
  </si>
  <si>
    <t>20250831T124605004</t>
  </si>
  <si>
    <t>20250831 12:46:05</t>
  </si>
  <si>
    <t>solution_{20-05-05}_{06-10}_02_localRefinement_20250901T001113344</t>
  </si>
  <si>
    <t>20250901T001113344</t>
  </si>
  <si>
    <t>20250901 00:11:13</t>
  </si>
  <si>
    <t>solution_{20-05-05}_{06-10}_03_decomposedNeighborhoodSearch_20250831T122602896</t>
  </si>
  <si>
    <t>20250831T122602896</t>
  </si>
  <si>
    <t>20250831 12:26:02</t>
  </si>
  <si>
    <t>solution_{20-05-05}_{06-10}_03_decomposedRandom_20250831T125508078</t>
  </si>
  <si>
    <t>20250831T125508078</t>
  </si>
  <si>
    <t>20250831 12:55:08</t>
  </si>
  <si>
    <t>solution_{20-05-05}_{06-10}_03_localRefinement_20250901T001114521</t>
  </si>
  <si>
    <t>20250901T001114521</t>
  </si>
  <si>
    <t>20250901 00:11:14</t>
  </si>
  <si>
    <t>solution_{20-05-05}_{06-10}_04_decomposedNeighborhoodSearch_20250831T124143110</t>
  </si>
  <si>
    <t>20250831T124143110</t>
  </si>
  <si>
    <t>20250831 12:41:43</t>
  </si>
  <si>
    <t>solution_{20-05-05}_{06-10}_04_decomposedRandom_20250831T131340991</t>
  </si>
  <si>
    <t>20250831T131340991</t>
  </si>
  <si>
    <t>20250831 13:13:40</t>
  </si>
  <si>
    <t>solution_{20-05-05}_{06-10}_04_localRefinement_20250901T011132941</t>
  </si>
  <si>
    <t>20250901T011132941</t>
  </si>
  <si>
    <t>20250901 01:11:32</t>
  </si>
  <si>
    <t>solution_{20-05-05}_{06-10}_05_decomposedNeighborhoodSearch_20250831T132429977</t>
  </si>
  <si>
    <t>20250831T132429977</t>
  </si>
  <si>
    <t>20250831 13:24:29</t>
  </si>
  <si>
    <t>solution_{20-05-05}_{06-10}_05_decomposedRandom_20250831T133845759</t>
  </si>
  <si>
    <t>20250831T133845759</t>
  </si>
  <si>
    <t>20250831 13:38:45</t>
  </si>
  <si>
    <t>solution_{20-05-05}_{06-10}_05_localRefinement_20250901T011201266</t>
  </si>
  <si>
    <t>20250901T011201266</t>
  </si>
  <si>
    <t>20250901 01:12:01</t>
  </si>
  <si>
    <t>Vessels</t>
    <phoneticPr fontId="2" type="noConversion"/>
  </si>
  <si>
    <t>Subblocks</t>
    <phoneticPr fontId="2" type="noConversion"/>
  </si>
  <si>
    <t>Local Refinement</t>
    <phoneticPr fontId="2" type="noConversion"/>
  </si>
  <si>
    <t>improve/local</t>
    <phoneticPr fontId="2" type="noConversion"/>
  </si>
  <si>
    <t>improve</t>
    <phoneticPr fontId="2" type="noConversion"/>
  </si>
  <si>
    <t>12 vessels,80 subblocks</t>
  </si>
  <si>
    <t>9 vessels,60 subblocks</t>
  </si>
  <si>
    <t>18 vessels,120 subblocks</t>
  </si>
  <si>
    <t>24 vessels,160 subblocks</t>
  </si>
  <si>
    <t>15 vessels,100 subblocks</t>
  </si>
  <si>
    <t>30 vessels,200 subblocks</t>
  </si>
  <si>
    <t>3 vessels,20 subblocks</t>
  </si>
  <si>
    <t>6 vessels,40 subblocks</t>
  </si>
  <si>
    <t>file</t>
  </si>
  <si>
    <t>method</t>
  </si>
  <si>
    <t>route</t>
  </si>
  <si>
    <t>congestion</t>
  </si>
  <si>
    <t>elapsed time</t>
  </si>
  <si>
    <t>evaluated solutions</t>
  </si>
  <si>
    <t>config_{02-00-01}_{06-01}_01_decomposedNeighborhoodSearch_20250831T021148494.log</t>
  </si>
  <si>
    <t>{02-00-01}_{06-01}_01</t>
  </si>
  <si>
    <t>config_{02-00-01}_{06-01}_01_decomposedRandom_20250831T021232464.log</t>
  </si>
  <si>
    <t>config_{02-00-01}_{06-01}_01_localRefinement_20250831T131027197.log</t>
  </si>
  <si>
    <t>config_{02-00-01}_{06-01}_02_decomposedNeighborhoodSearch_20250831T021148494.log</t>
  </si>
  <si>
    <t>{02-00-01}_{06-01}_02</t>
  </si>
  <si>
    <t>config_{02-00-01}_{06-01}_02_decomposedRandom_20250831T021232464.log</t>
  </si>
  <si>
    <t>config_{02-00-01}_{06-01}_02_localRefinement_20250831T131027197.log</t>
  </si>
  <si>
    <t>config_{02-00-01}_{06-01}_03_decomposedNeighborhoodSearch_20250831T021148494.log</t>
  </si>
  <si>
    <t>{02-00-01}_{06-01}_03</t>
  </si>
  <si>
    <t>config_{02-00-01}_{06-01}_03_decomposedRandom_20250831T021232464.log</t>
  </si>
  <si>
    <t>config_{02-00-01}_{06-01}_03_localRefinement_20250831T131027197.log</t>
  </si>
  <si>
    <t>config_{02-00-01}_{06-01}_04_decomposedNeighborhoodSearch_20250831T021148494.log</t>
  </si>
  <si>
    <t>{02-00-01}_{06-01}_04</t>
  </si>
  <si>
    <t>config_{02-00-01}_{06-01}_04_decomposedRandom_20250831T021232464.log</t>
  </si>
  <si>
    <t>config_{02-00-01}_{06-01}_04_localRefinement_20250831T131027197.log</t>
  </si>
  <si>
    <t>config_{02-00-01}_{06-01}_05_decomposedNeighborhoodSearch_20250831T021404398.log</t>
  </si>
  <si>
    <t>{02-00-01}_{06-01}_05</t>
  </si>
  <si>
    <t>config_{02-00-01}_{06-01}_05_decomposedRandom_20250831T022309288.log</t>
  </si>
  <si>
    <t>config_{02-00-01}_{06-01}_05_localRefinement_20250831T141027295.log</t>
  </si>
  <si>
    <t>config_{04-00-02}_{06-02}_01_decomposedNeighborhoodSearch_20250831T022418717.log</t>
  </si>
  <si>
    <t>{04-00-02}_{06-02}_01</t>
  </si>
  <si>
    <t>config_{04-00-02}_{06-02}_01_decomposedRandom_20250831T023823596.log</t>
  </si>
  <si>
    <t>config_{04-00-02}_{06-02}_01_localRefinement_20250831T141027295.log</t>
  </si>
  <si>
    <t>config_{04-00-02}_{06-02}_02_decomposedNeighborhoodSearch_20250831T022452876.log</t>
  </si>
  <si>
    <t>{04-00-02}_{06-02}_02</t>
  </si>
  <si>
    <t>config_{04-00-02}_{06-02}_02_decomposedRandom_20250831T024555019.log</t>
  </si>
  <si>
    <t>config_{04-00-02}_{06-02}_02_localRefinement_20250831T141027295.log</t>
  </si>
  <si>
    <t>config_{04-00-02}_{06-02}_03_decomposedNeighborhoodSearch_20250831T022552544.log</t>
  </si>
  <si>
    <t>{04-00-02}_{06-02}_03</t>
  </si>
  <si>
    <t>config_{04-00-02}_{06-02}_03_decomposedRandom_20250831T025448266.log</t>
  </si>
  <si>
    <t>config_{04-00-02}_{06-02}_03_localRefinement_20250831T141027298.log</t>
  </si>
  <si>
    <t>config_{04-00-02}_{06-02}_04_decomposedNeighborhoodSearch_20250831T024132673.log</t>
  </si>
  <si>
    <t>{04-00-02}_{06-02}_04</t>
  </si>
  <si>
    <t>config_{04-00-02}_{06-02}_04_decomposedRandom_20250831T031232532.log</t>
  </si>
  <si>
    <t>config_{04-00-02}_{06-02}_04_localRefinement_20250831T151027314.log</t>
  </si>
  <si>
    <t>config_{04-00-02}_{06-02}_05_decomposedNeighborhoodSearch_20250831T032419134.log</t>
  </si>
  <si>
    <t>{04-00-02}_{06-02}_05</t>
  </si>
  <si>
    <t>config_{04-00-02}_{06-02}_05_decomposedRandom_20250831T033823793.log</t>
  </si>
  <si>
    <t>config_{04-00-02}_{06-02}_05_localRefinement_20250831T151027393.log</t>
  </si>
  <si>
    <t>config_{04-01-01}_{06-02}_01_decomposedNeighborhoodSearch_20250831T072420444.log</t>
  </si>
  <si>
    <t>{04-01-01}_{06-02}_01</t>
  </si>
  <si>
    <t>config_{04-01-01}_{06-02}_01_decomposedRandom_20250831T073825342.log</t>
  </si>
  <si>
    <t>config_{04-01-01}_{06-02}_01_localRefinement_20250831T191029375.log</t>
  </si>
  <si>
    <t>config_{04-01-01}_{06-02}_02_decomposedNeighborhoodSearch_20250831T072453956.log</t>
  </si>
  <si>
    <t>{04-01-01}_{06-02}_02</t>
  </si>
  <si>
    <t>config_{04-01-01}_{06-02}_02_decomposedRandom_20250831T074555915.log</t>
  </si>
  <si>
    <t>config_{04-01-01}_{06-02}_02_localRefinement_20250831T191032098.log</t>
  </si>
  <si>
    <t>config_{04-01-01}_{06-02}_03_decomposedNeighborhoodSearch_20250831T072555610.log</t>
  </si>
  <si>
    <t>{04-01-01}_{06-02}_03</t>
  </si>
  <si>
    <t>config_{04-01-01}_{06-02}_03_decomposedRandom_20250831T075449344.log</t>
  </si>
  <si>
    <t>config_{04-01-01}_{06-02}_03_localRefinement_20250831T191032141.log</t>
  </si>
  <si>
    <t>config_{04-01-01}_{06-02}_04_decomposedNeighborhoodSearch_20250831T074135390.log</t>
  </si>
  <si>
    <t>{04-01-01}_{06-02}_04</t>
  </si>
  <si>
    <t>config_{04-01-01}_{06-02}_04_decomposedRandom_20250831T081234904.log</t>
  </si>
  <si>
    <t>config_{04-01-01}_{06-02}_04_localRefinement_20250831T201029962.log</t>
  </si>
  <si>
    <t>config_{04-01-01}_{06-02}_05_decomposedNeighborhoodSearch_20250831T082422791.log</t>
  </si>
  <si>
    <t>{04-01-01}_{06-02}_05</t>
  </si>
  <si>
    <t>config_{04-01-01}_{06-02}_05_decomposedRandom_20250831T083827152.log</t>
  </si>
  <si>
    <t>config_{04-01-01}_{06-02}_05_localRefinement_20250831T201030068.log</t>
  </si>
  <si>
    <t>config_{06-00-03}_{06-03}_01_decomposedNeighborhoodSearch_20250831T032452935.log</t>
  </si>
  <si>
    <t>{06-00-03}_{06-03}_01</t>
  </si>
  <si>
    <t>config_{06-00-03}_{06-03}_01_decomposedRandom_20250831T034555129.log</t>
  </si>
  <si>
    <t>config_{06-00-03}_{06-03}_01_localRefinement_20250831T151027400.log</t>
  </si>
  <si>
    <t>config_{06-00-03}_{06-03}_02_decomposedNeighborhoodSearch_20250831T032553062.log</t>
  </si>
  <si>
    <t>{06-00-03}_{06-03}_02</t>
  </si>
  <si>
    <t>config_{06-00-03}_{06-03}_02_decomposedRandom_20250831T035448325.log</t>
  </si>
  <si>
    <t>config_{06-00-03}_{06-03}_02_localRefinement_20250831T151027422.log</t>
  </si>
  <si>
    <t>config_{06-00-03}_{06-03}_03_decomposedNeighborhoodSearch_20250831T034132792.log</t>
  </si>
  <si>
    <t>{06-00-03}_{06-03}_03</t>
  </si>
  <si>
    <t>config_{06-00-03}_{06-03}_03_decomposedRandom_20250831T041233300.log</t>
  </si>
  <si>
    <t>config_{06-00-03}_{06-03}_03_localRefinement_20250831T161027407.log</t>
  </si>
  <si>
    <t>config_{06-00-03}_{06-03}_04_decomposedNeighborhoodSearch_20250831T042419412.log</t>
  </si>
  <si>
    <t>{06-00-03}_{06-03}_04</t>
  </si>
  <si>
    <t>config_{06-00-03}_{06-03}_04_decomposedRandom_20250831T043823881.log</t>
  </si>
  <si>
    <t>config_{06-00-03}_{06-03}_04_localRefinement_20250831T161027516.log</t>
  </si>
  <si>
    <t>config_{06-00-03}_{06-03}_05_decomposedNeighborhoodSearch_20250831T042453462.log</t>
  </si>
  <si>
    <t>{06-00-03}_{06-03}_05</t>
  </si>
  <si>
    <t>config_{06-00-03}_{06-03}_05_decomposedRandom_20250831T044555225.log</t>
  </si>
  <si>
    <t>config_{06-00-03}_{06-03}_05_localRefinement_20250831T161027624.log</t>
  </si>
  <si>
    <t>config_{08-00-04}_{06-04}_01_decomposedNeighborhoodSearch_20250831T042553587.log</t>
  </si>
  <si>
    <t>{08-00-04}_{06-04}_01</t>
  </si>
  <si>
    <t>config_{08-00-04}_{06-04}_01_decomposedRandom_20250831T045448407.log</t>
  </si>
  <si>
    <t>config_{08-00-04}_{06-04}_01_localRefinement_20250831T161030375.log</t>
  </si>
  <si>
    <t>config_{08-00-04}_{06-04}_02_decomposedNeighborhoodSearch_20250831T044133059.log</t>
  </si>
  <si>
    <t>{08-00-04}_{06-04}_02</t>
  </si>
  <si>
    <t>config_{08-00-04}_{06-04}_02_decomposedRandom_20250831T051233951.log</t>
  </si>
  <si>
    <t>config_{08-00-04}_{06-04}_02_localRefinement_20250831T171027806.log</t>
  </si>
  <si>
    <t>config_{08-00-04}_{06-04}_03_decomposedNeighborhoodSearch_20250831T052419980.log</t>
  </si>
  <si>
    <t>{08-00-04}_{06-04}_03</t>
  </si>
  <si>
    <t>config_{08-00-04}_{06-04}_03_decomposedRandom_20250831T053824392.log</t>
  </si>
  <si>
    <t>config_{08-00-04}_{06-04}_03_localRefinement_20250831T171027876.log</t>
  </si>
  <si>
    <t>config_{08-00-04}_{06-04}_04_decomposedNeighborhoodSearch_20250831T052453518.log</t>
  </si>
  <si>
    <t>{08-00-04}_{06-04}_04</t>
  </si>
  <si>
    <t>config_{08-00-04}_{06-04}_04_decomposedRandom_20250831T054555409.log</t>
  </si>
  <si>
    <t>config_{08-00-04}_{06-04}_04_localRefinement_20250831T171030807.log</t>
  </si>
  <si>
    <t>config_{08-00-04}_{06-04}_05_decomposedNeighborhoodSearch_20250831T052554347.log</t>
  </si>
  <si>
    <t>{08-00-04}_{06-04}_05</t>
  </si>
  <si>
    <t>config_{08-00-04}_{06-04}_05_decomposedRandom_20250831T055448641.log</t>
  </si>
  <si>
    <t>config_{08-00-04}_{06-04}_05_localRefinement_20250831T171030895.log</t>
  </si>
  <si>
    <t>config_{08-02-02}_{06-04}_01_decomposedNeighborhoodSearch_20250831T082455433.log</t>
  </si>
  <si>
    <t>{08-02-02}_{06-04}_01</t>
  </si>
  <si>
    <t>config_{08-02-02}_{06-04}_01_decomposedRandom_20250831T084556852.log</t>
  </si>
  <si>
    <t>config_{08-02-02}_{06-04}_01_localRefinement_20250831T201032788.log</t>
  </si>
  <si>
    <t>config_{08-02-02}_{06-04}_02_decomposedNeighborhoodSearch_20250831T082556019.log</t>
  </si>
  <si>
    <t>{08-02-02}_{06-04}_02</t>
  </si>
  <si>
    <t>config_{08-02-02}_{06-04}_02_decomposedRandom_20250831T085450027.log</t>
  </si>
  <si>
    <t>config_{08-02-02}_{06-04}_02_localRefinement_20250831T201033074.log</t>
  </si>
  <si>
    <t>config_{08-02-02}_{06-04}_03_decomposedNeighborhoodSearch_20250831T084135648.log</t>
  </si>
  <si>
    <t>{08-02-02}_{06-04}_03</t>
  </si>
  <si>
    <t>config_{08-02-02}_{06-04}_03_decomposedRandom_20250831T091235049.log</t>
  </si>
  <si>
    <t>config_{08-02-02}_{06-04}_03_localRefinement_20250831T211030679.log</t>
  </si>
  <si>
    <t>config_{08-02-02}_{06-04}_04_decomposedNeighborhoodSearch_20250831T092423618.log</t>
  </si>
  <si>
    <t>{08-02-02}_{06-04}_04</t>
  </si>
  <si>
    <t>config_{08-02-02}_{06-04}_04_decomposedRandom_20250831T093829279.log</t>
  </si>
  <si>
    <t>config_{08-02-02}_{06-04}_04_localRefinement_20250831T211030800.log</t>
  </si>
  <si>
    <t>config_{08-02-02}_{06-04}_05_decomposedNeighborhoodSearch_20250831T092455689.log</t>
  </si>
  <si>
    <t>{08-02-02}_{06-04}_05</t>
  </si>
  <si>
    <t>config_{08-02-02}_{06-04}_05_decomposedRandom_20250831T094557808.log</t>
  </si>
  <si>
    <t>config_{08-02-02}_{06-04}_05_localRefinement_20250831T211036248.log</t>
  </si>
  <si>
    <t>config_{10-00-05}_{06-05}_01_decomposedNeighborhoodSearch_20250831T054134071.log</t>
  </si>
  <si>
    <t>{10-00-05}_{06-05}_01</t>
  </si>
  <si>
    <t>config_{10-00-05}_{06-05}_01_decomposedRandom_20250831T061234021.log</t>
  </si>
  <si>
    <t>config_{10-00-05}_{06-05}_01_localRefinement_20250831T181028283.log</t>
  </si>
  <si>
    <t>config_{10-00-05}_{06-05}_02_decomposedNeighborhoodSearch_20250831T062420341.log</t>
  </si>
  <si>
    <t>{10-00-05}_{06-05}_02</t>
  </si>
  <si>
    <t>config_{10-00-05}_{06-05}_02_decomposedRandom_20250831T063825236.log</t>
  </si>
  <si>
    <t>config_{10-00-05}_{06-05}_02_localRefinement_20250831T181028355.log</t>
  </si>
  <si>
    <t>config_{10-00-05}_{06-05}_03_decomposedNeighborhoodSearch_20250831T062453746.log</t>
  </si>
  <si>
    <t>{10-00-05}_{06-05}_03</t>
  </si>
  <si>
    <t>config_{10-00-05}_{06-05}_03_decomposedRandom_20250831T064555481.log</t>
  </si>
  <si>
    <t>config_{10-00-05}_{06-05}_03_localRefinement_20250831T181031265.log</t>
  </si>
  <si>
    <t>config_{10-00-05}_{06-05}_04_decomposedNeighborhoodSearch_20250831T062554716.log</t>
  </si>
  <si>
    <t>{10-00-05}_{06-05}_04</t>
  </si>
  <si>
    <t>config_{10-00-05}_{06-05}_04_decomposedRandom_20250831T065448732.log</t>
  </si>
  <si>
    <t>config_{10-00-05}_{06-05}_04_localRefinement_20250831T181031340.log</t>
  </si>
  <si>
    <t>config_{10-00-05}_{06-05}_05_decomposedNeighborhoodSearch_20250831T064134996.log</t>
  </si>
  <si>
    <t>{10-00-05}_{06-05}_05</t>
  </si>
  <si>
    <t>config_{10-00-05}_{06-05}_05_decomposedRandom_20250831T071234229.log</t>
  </si>
  <si>
    <t>config_{10-00-05}_{06-05}_05_localRefinement_20250831T191029014.log</t>
  </si>
  <si>
    <t>config_{12-03-03}_{06-06}_01_decomposedNeighborhoodSearch_20250831T092556550.log</t>
  </si>
  <si>
    <t>{12-03-03}_{06-06}_01</t>
  </si>
  <si>
    <t>config_{12-03-03}_{06-06}_01_decomposedRandom_20250831T095457113.log</t>
  </si>
  <si>
    <t>config_{12-03-03}_{06-06}_01_localRefinement_20250831T211036422.log</t>
  </si>
  <si>
    <t>config_{12-03-03}_{06-06}_02_decomposedNeighborhoodSearch_20250831T094136899.log</t>
  </si>
  <si>
    <t>{12-03-03}_{06-06}_02</t>
  </si>
  <si>
    <t>config_{12-03-03}_{06-06}_02_decomposedRandom_20250831T101236330.log</t>
  </si>
  <si>
    <t>config_{12-03-03}_{06-06}_02_localRefinement_20250831T221034460.log</t>
  </si>
  <si>
    <t>config_{12-03-03}_{06-06}_03_decomposedNeighborhoodSearch_20250831T102424559.log</t>
  </si>
  <si>
    <t>{12-03-03}_{06-06}_03</t>
  </si>
  <si>
    <t>config_{12-03-03}_{06-06}_03_decomposedRandom_20250831T103842266.log</t>
  </si>
  <si>
    <t>config_{12-03-03}_{06-06}_03_localRefinement_20250831T221034708.log</t>
  </si>
  <si>
    <t>config_{12-03-03}_{06-06}_04_decomposedNeighborhoodSearch_20250831T102502073.log</t>
  </si>
  <si>
    <t>{12-03-03}_{06-06}_04</t>
  </si>
  <si>
    <t>config_{12-03-03}_{06-06}_04_decomposedRandom_20250831T104559552.log</t>
  </si>
  <si>
    <t>config_{12-03-03}_{06-06}_04_localRefinement_20250831T221037346.log</t>
  </si>
  <si>
    <t>config_{12-03-03}_{06-06}_05_decomposedNeighborhoodSearch_20250831T102558647.log</t>
  </si>
  <si>
    <t>{12-03-03}_{06-06}_05</t>
  </si>
  <si>
    <t>config_{12-03-03}_{06-06}_05_decomposedRandom_20250831T105458159.log</t>
  </si>
  <si>
    <t>config_{12-03-03}_{06-06}_05_localRefinement_20250831T221039729.log</t>
  </si>
  <si>
    <t>config_{16-04-04}_{06-08}_01_decomposedNeighborhoodSearch_20250831T104138371.log</t>
  </si>
  <si>
    <t>{16-04-04}_{06-08}_01</t>
  </si>
  <si>
    <t>config_{16-04-04}_{06-08}_01_decomposedRandom_20250831T111337274.log</t>
  </si>
  <si>
    <t>config_{16-04-04}_{06-08}_01_localRefinement_20250831T231044024.log</t>
  </si>
  <si>
    <t>config_{16-04-04}_{06-08}_02_decomposedNeighborhoodSearch_20250831T112426255.log</t>
  </si>
  <si>
    <t>{16-04-04}_{06-08}_02</t>
  </si>
  <si>
    <t>config_{16-04-04}_{06-08}_02_decomposedRandom_20250831T113843094.log</t>
  </si>
  <si>
    <t>config_{16-04-04}_{06-08}_02_localRefinement_20250831T231044416.log</t>
  </si>
  <si>
    <t>config_{16-04-04}_{06-08}_03_decomposedNeighborhoodSearch_20250831T112502952.log</t>
  </si>
  <si>
    <t>{16-04-04}_{06-08}_03</t>
  </si>
  <si>
    <t>config_{16-04-04}_{06-08}_03_decomposedRandom_20250831T114603113.log</t>
  </si>
  <si>
    <t>config_{16-04-04}_{06-08}_03_localRefinement_20250831T231047380.log</t>
  </si>
  <si>
    <t>config_{16-04-04}_{06-08}_04_decomposedNeighborhoodSearch_20250831T112600708.log</t>
  </si>
  <si>
    <t>{16-04-04}_{06-08}_04</t>
  </si>
  <si>
    <t>config_{16-04-04}_{06-08}_04_decomposedRandom_20250831T115506982.log</t>
  </si>
  <si>
    <t>config_{16-04-04}_{06-08}_04_localRefinement_20250831T231049556.log</t>
  </si>
  <si>
    <t>config_{16-04-04}_{06-08}_05_decomposedNeighborhoodSearch_20250831T114141066.log</t>
  </si>
  <si>
    <t>{16-04-04}_{06-08}_05</t>
  </si>
  <si>
    <t>config_{16-04-04}_{06-08}_05_decomposedRandom_20250831T121339371.log</t>
  </si>
  <si>
    <t>config_{16-04-04}_{06-08}_05_localRefinement_20250901T001108037.log</t>
  </si>
  <si>
    <t>config_{20-05-05}_{06-10}_01_decomposedNeighborhoodSearch_20250831T122428205.log</t>
  </si>
  <si>
    <t>{20-05-05}_{06-10}_01</t>
  </si>
  <si>
    <t>config_{20-05-05}_{06-10}_01_decomposedRandom_20250831T123843885.log</t>
  </si>
  <si>
    <t>config_{20-05-05}_{06-10}_01_localRefinement_20250901T001108653.log</t>
  </si>
  <si>
    <t>config_{20-05-05}_{06-10}_02_decomposedNeighborhoodSearch_20250831T122505054.log</t>
  </si>
  <si>
    <t>{20-05-05}_{06-10}_02</t>
  </si>
  <si>
    <t>config_{20-05-05}_{06-10}_02_decomposedRandom_20250831T124605004.log</t>
  </si>
  <si>
    <t>config_{20-05-05}_{06-10}_02_localRefinement_20250901T001113344.log</t>
  </si>
  <si>
    <t>config_{20-05-05}_{06-10}_03_decomposedNeighborhoodSearch_20250831T122602896.log</t>
  </si>
  <si>
    <t>{20-05-05}_{06-10}_03</t>
  </si>
  <si>
    <t>config_{20-05-05}_{06-10}_03_decomposedRandom_20250831T125508078.log</t>
  </si>
  <si>
    <t>config_{20-05-05}_{06-10}_03_localRefinement_20250901T001114521.log</t>
  </si>
  <si>
    <t>config_{20-05-05}_{06-10}_04_decomposedNeighborhoodSearch_20250831T124143110.log</t>
  </si>
  <si>
    <t>{20-05-05}_{06-10}_04</t>
  </si>
  <si>
    <t>config_{20-05-05}_{06-10}_04_decomposedRandom_20250831T131340991.log</t>
  </si>
  <si>
    <t>config_{20-05-05}_{06-10}_04_localRefinement_20250901T011132941.log</t>
  </si>
  <si>
    <t>config_{20-05-05}_{06-10}_05_decomposedNeighborhoodSearch_20250831T132429977.log</t>
  </si>
  <si>
    <t>{20-05-05}_{06-10}_05</t>
  </si>
  <si>
    <t>config_{20-05-05}_{06-10}_05_decomposedRandom_20250831T133845759.log</t>
  </si>
  <si>
    <t>config_{20-05-05}_{06-10}_05_localRefinement_20250901T011201266.log</t>
  </si>
  <si>
    <t>FCFS</t>
    <phoneticPr fontId="2" type="noConversion"/>
  </si>
  <si>
    <t>2-VesselType Instances</t>
    <phoneticPr fontId="2" type="noConversion"/>
  </si>
  <si>
    <t>3-VesselType Instances</t>
    <phoneticPr fontId="2" type="noConversion"/>
  </si>
  <si>
    <t>Improve</t>
    <phoneticPr fontId="2" type="noConversion"/>
  </si>
  <si>
    <t>obj</t>
    <phoneticPr fontId="2" type="noConversion"/>
  </si>
  <si>
    <t>route</t>
    <phoneticPr fontId="2" type="noConversion"/>
  </si>
  <si>
    <t>time</t>
    <phoneticPr fontId="2" type="noConversion"/>
  </si>
  <si>
    <t>2-Vessel-Type Instances</t>
    <phoneticPr fontId="2" type="noConversion"/>
  </si>
  <si>
    <t>3-Vessel-Type Instances</t>
    <phoneticPr fontId="2" type="noConversion"/>
  </si>
  <si>
    <t>CETSA</t>
  </si>
  <si>
    <t>Scale</t>
  </si>
  <si>
    <t>ID</t>
  </si>
  <si>
    <t>Local Refinement</t>
  </si>
  <si>
    <t>FCFS</t>
  </si>
  <si>
    <t>improve/fcfs</t>
    <phoneticPr fontId="2" type="noConversion"/>
  </si>
  <si>
    <t>improve/CSNS</t>
    <phoneticPr fontId="2" type="noConversion"/>
  </si>
  <si>
    <t>improve/CPLEX</t>
    <phoneticPr fontId="2" type="noConversion"/>
  </si>
  <si>
    <t>improve/TSA</t>
    <phoneticPr fontId="2" type="noConversion"/>
  </si>
  <si>
    <t>improve/FCFS</t>
    <phoneticPr fontId="2" type="noConversion"/>
  </si>
  <si>
    <t>CSNS</t>
    <phoneticPr fontId="2" type="noConversion"/>
  </si>
  <si>
    <t>Instance</t>
    <phoneticPr fontId="2" type="noConversion"/>
  </si>
  <si>
    <t>Overall Cost</t>
    <phoneticPr fontId="2" type="noConversion"/>
  </si>
  <si>
    <t>Improvement</t>
    <phoneticPr fontId="2" type="noConversion"/>
  </si>
  <si>
    <t>v.s. CPLEX</t>
    <phoneticPr fontId="2" type="noConversion"/>
  </si>
  <si>
    <t>v.s. CSNS</t>
    <phoneticPr fontId="2" type="noConversion"/>
  </si>
  <si>
    <t>-</t>
  </si>
  <si>
    <t>solution_{02-00-01}_{06-01}_01_cplexIntegrated_20250709T185734723</t>
  </si>
  <si>
    <t>20250709T185734723</t>
  </si>
  <si>
    <t>20250709 18:57:34</t>
  </si>
  <si>
    <t>solution_{02-00-01}_{06-01}_01_cplexIntegrated_20250830T185232520</t>
  </si>
  <si>
    <t>20250830T185232520</t>
  </si>
  <si>
    <t>20250830 18:52:32</t>
  </si>
  <si>
    <t>solution_{02-00-01}_{06-01}_01_decomposedNeighborhoodSearch_20250709T174527104</t>
  </si>
  <si>
    <t>20250709T174527104</t>
  </si>
  <si>
    <t>20250709 17:45:27</t>
  </si>
  <si>
    <t>solution_{02-00-01}_{06-01}_01_decomposedNeighborhoodSearch_20250721T172441878</t>
  </si>
  <si>
    <t>20250721T172441878</t>
  </si>
  <si>
    <t>20250721 17:24:41</t>
  </si>
  <si>
    <t>solution_{02-00-01}_{06-01}_01_decomposedNeighborhoodSearch_20250725T001206496</t>
  </si>
  <si>
    <t>20250725T001206496</t>
  </si>
  <si>
    <t>20250725 00:12:06</t>
  </si>
  <si>
    <t>solution_{02-00-01}_{06-01}_01_decomposedRandom_20250710T212328292</t>
  </si>
  <si>
    <t>20250710T212328292</t>
  </si>
  <si>
    <t>20250710 21:23:28</t>
  </si>
  <si>
    <t>solution_{02-00-01}_{06-01}_01_decomposedRandom_20250725T114034544</t>
  </si>
  <si>
    <t>20250725T114034544</t>
  </si>
  <si>
    <t>20250725 11:40:34</t>
  </si>
  <si>
    <t>solution_{02-00-01}_{06-01}_01_localRefinement_20250828T200702325</t>
  </si>
  <si>
    <t>20250828T200702325</t>
  </si>
  <si>
    <t>20250828 20:07:02</t>
  </si>
  <si>
    <t>solution_{02-00-01}_{06-01}_01_localRefinement_20250831T021208641</t>
  </si>
  <si>
    <t>20250831T021208641</t>
  </si>
  <si>
    <t>20250831 02:12:08</t>
  </si>
  <si>
    <t>solution_{02-00-01}_{06-01}_02_cplexIntegrated_20250709T185734723</t>
  </si>
  <si>
    <t>solution_{02-00-01}_{06-01}_02_cplexIntegrated_20250830T185232520</t>
  </si>
  <si>
    <t>solution_{02-00-01}_{06-01}_02_decomposedNeighborhoodSearch_20250709T174527104</t>
  </si>
  <si>
    <t>solution_{02-00-01}_{06-01}_02_decomposedNeighborhoodSearch_20250721T172441878</t>
  </si>
  <si>
    <t>solution_{02-00-01}_{06-01}_02_decomposedNeighborhoodSearch_20250725T001206496</t>
  </si>
  <si>
    <t>solution_{02-00-01}_{06-01}_02_decomposedRandom_20250710T212328292</t>
  </si>
  <si>
    <t>solution_{02-00-01}_{06-01}_02_decomposedRandom_20250725T114034544</t>
  </si>
  <si>
    <t>solution_{02-00-01}_{06-01}_02_localRefinement_20250828T200702325</t>
  </si>
  <si>
    <t>solution_{02-00-01}_{06-01}_02_localRefinement_20250831T021208641</t>
  </si>
  <si>
    <t>solution_{02-00-01}_{06-01}_03_cplexIntegrated_20250709T185734723</t>
  </si>
  <si>
    <t>solution_{02-00-01}_{06-01}_03_cplexIntegrated_20250830T185232520</t>
  </si>
  <si>
    <t>solution_{02-00-01}_{06-01}_03_decomposedNeighborhoodSearch_20250709T174527104</t>
  </si>
  <si>
    <t>solution_{02-00-01}_{06-01}_03_decomposedNeighborhoodSearch_20250721T172441878</t>
  </si>
  <si>
    <t>solution_{02-00-01}_{06-01}_03_decomposedNeighborhoodSearch_20250725T001206497</t>
  </si>
  <si>
    <t>20250725T001206497</t>
  </si>
  <si>
    <t>solution_{02-00-01}_{06-01}_03_decomposedRandom_20250710T212328292</t>
  </si>
  <si>
    <t>solution_{02-00-01}_{06-01}_03_decomposedRandom_20250725T114034544</t>
  </si>
  <si>
    <t>solution_{02-00-01}_{06-01}_03_localRefinement_20250828T200702325</t>
  </si>
  <si>
    <t>solution_{02-00-01}_{06-01}_03_localRefinement_20250831T021208641</t>
  </si>
  <si>
    <t>solution_{02-00-01}_{06-01}_04_cplexIntegrated_20250709T185734723</t>
  </si>
  <si>
    <t>solution_{02-00-01}_{06-01}_04_cplexIntegrated_20250830T185232520</t>
  </si>
  <si>
    <t>solution_{02-00-01}_{06-01}_04_decomposedNeighborhoodSearch_20250709T174527104</t>
  </si>
  <si>
    <t>solution_{02-00-01}_{06-01}_04_decomposedNeighborhoodSearch_20250721T172441878</t>
  </si>
  <si>
    <t>solution_{02-00-01}_{06-01}_04_decomposedNeighborhoodSearch_20250725T001206496</t>
  </si>
  <si>
    <t>solution_{02-00-01}_{06-01}_04_decomposedRandom_20250710T212328292</t>
  </si>
  <si>
    <t>solution_{02-00-01}_{06-01}_04_decomposedRandom_20250725T114034544</t>
  </si>
  <si>
    <t>solution_{02-00-01}_{06-01}_04_localRefinement_20250828T200702325</t>
  </si>
  <si>
    <t>solution_{02-00-01}_{06-01}_04_localRefinement_20250831T021208641</t>
  </si>
  <si>
    <t>solution_{02-00-01}_{06-01}_05_cplexIntegrated_20250709T185734723</t>
  </si>
  <si>
    <t>solution_{02-00-01}_{06-01}_05_cplexIntegrated_20250830T185232520</t>
  </si>
  <si>
    <t>solution_{02-00-01}_{06-01}_05_decomposedNeighborhoodSearch_20250709T174527104</t>
  </si>
  <si>
    <t>solution_{02-00-01}_{06-01}_05_decomposedNeighborhoodSearch_20250721T172441878</t>
  </si>
  <si>
    <t>solution_{02-00-01}_{06-01}_05_decomposedNeighborhoodSearch_20250725T001206497</t>
  </si>
  <si>
    <t>solution_{02-00-01}_{06-01}_05_decomposedRandom_20250710T212328292</t>
  </si>
  <si>
    <t>solution_{02-00-01}_{06-01}_05_decomposedRandom_20250725T114034544</t>
  </si>
  <si>
    <t>solution_{02-00-01}_{06-01}_05_localRefinement_20250828T200702325</t>
  </si>
  <si>
    <t>solution_{02-00-01}_{06-01}_05_localRefinement_20250831T031208696</t>
  </si>
  <si>
    <t>20250831T031208696</t>
  </si>
  <si>
    <t>20250831 03:12:08</t>
  </si>
  <si>
    <t>solution_{04-00-02}_{06-02}_01_cplexIntegrated_20250709T185734723</t>
  </si>
  <si>
    <t>solution_{04-00-02}_{06-02}_01_cplexIntegrated_20250830T185232520</t>
  </si>
  <si>
    <t>solution_{04-00-02}_{06-02}_01_decomposedNeighborhoodSearch_20250709T174527104</t>
  </si>
  <si>
    <t>solution_{04-00-02}_{06-02}_01_decomposedNeighborhoodSearch_20250721T172441878</t>
  </si>
  <si>
    <t>solution_{04-00-02}_{06-02}_01_decomposedNeighborhoodSearch_20250725T001206496</t>
  </si>
  <si>
    <t>solution_{04-00-02}_{06-02}_01_decomposedRandom_20250710T212328292</t>
  </si>
  <si>
    <t>solution_{04-00-02}_{06-02}_01_decomposedRandom_20250725T114034544</t>
  </si>
  <si>
    <t>solution_{04-00-02}_{06-02}_01_localRefinement_20250831T031208696</t>
  </si>
  <si>
    <t>solution_{04-00-02}_{06-02}_02_cplexIntegrated_20250709T185734724</t>
  </si>
  <si>
    <t>20250709T185734724</t>
  </si>
  <si>
    <t>solution_{04-00-02}_{06-02}_02_cplexIntegrated_20250830T185232520</t>
  </si>
  <si>
    <t>solution_{04-00-02}_{06-02}_02_decomposedNeighborhoodSearch_20250709T174527104</t>
  </si>
  <si>
    <t>solution_{04-00-02}_{06-02}_02_decomposedNeighborhoodSearch_20250721T172441878</t>
  </si>
  <si>
    <t>solution_{04-00-02}_{06-02}_02_decomposedNeighborhoodSearch_20250725T001206496</t>
  </si>
  <si>
    <t>solution_{04-00-02}_{06-02}_02_decomposedRandom_20250710T212328292</t>
  </si>
  <si>
    <t>solution_{04-00-02}_{06-02}_02_decomposedRandom_20250725T114034544</t>
  </si>
  <si>
    <t>solution_{04-00-02}_{06-02}_02_localRefinement_20250828T200702325</t>
  </si>
  <si>
    <t>solution_{04-00-02}_{06-02}_02_localRefinement_20250831T031208696</t>
  </si>
  <si>
    <t>solution_{04-00-02}_{06-02}_03_cplexIntegrated_20250709T185734723</t>
  </si>
  <si>
    <t>solution_{04-00-02}_{06-02}_03_cplexIntegrated_20250830T185232520</t>
  </si>
  <si>
    <t>solution_{04-00-02}_{06-02}_03_decomposedNeighborhoodSearch_20250709T174527104</t>
  </si>
  <si>
    <t>solution_{04-00-02}_{06-02}_03_decomposedNeighborhoodSearch_20250721T172441878</t>
  </si>
  <si>
    <t>solution_{04-00-02}_{06-02}_03_decomposedNeighborhoodSearch_20250725T001206496</t>
  </si>
  <si>
    <t>solution_{04-00-02}_{06-02}_03_decomposedRandom_20250710T212328292</t>
  </si>
  <si>
    <t>solution_{04-00-02}_{06-02}_03_decomposedRandom_20250725T114034544</t>
  </si>
  <si>
    <t>solution_{04-00-02}_{06-02}_03_localRefinement_20250828T200702325</t>
  </si>
  <si>
    <t>solution_{04-00-02}_{06-02}_03_localRefinement_20250831T031208703</t>
  </si>
  <si>
    <t>20250831T031208703</t>
  </si>
  <si>
    <t>solution_{04-00-02}_{06-02}_04_cplexIntegrated_20250709T185734723</t>
  </si>
  <si>
    <t>solution_{04-00-02}_{06-02}_04_cplexIntegrated_20250830T185232520</t>
  </si>
  <si>
    <t>solution_{04-00-02}_{06-02}_04_decomposedNeighborhoodSearch_20250709T174527104</t>
  </si>
  <si>
    <t>solution_{04-00-02}_{06-02}_04_decomposedNeighborhoodSearch_20250721T172441878</t>
  </si>
  <si>
    <t>solution_{04-00-02}_{06-02}_04_decomposedNeighborhoodSearch_20250725T001206497</t>
  </si>
  <si>
    <t>solution_{04-00-02}_{06-02}_04_decomposedRandom_20250710T212328292</t>
  </si>
  <si>
    <t>solution_{04-00-02}_{06-02}_04_decomposedRandom_20250725T114034544</t>
  </si>
  <si>
    <t>solution_{04-00-02}_{06-02}_04_localRefinement_20250828T200702325</t>
  </si>
  <si>
    <t>solution_{04-00-02}_{06-02}_04_localRefinement_20250831T041208725</t>
  </si>
  <si>
    <t>20250831T041208725</t>
  </si>
  <si>
    <t>20250831 04:12:08</t>
  </si>
  <si>
    <t>solution_{04-00-02}_{06-02}_05_cplexIntegrated_20250709T185734723</t>
  </si>
  <si>
    <t>solution_{04-00-02}_{06-02}_05_cplexIntegrated_20250830T185232520</t>
  </si>
  <si>
    <t>solution_{04-00-02}_{06-02}_05_decomposedNeighborhoodSearch_20250709T174527104</t>
  </si>
  <si>
    <t>solution_{04-00-02}_{06-02}_05_decomposedNeighborhoodSearch_20250721T172441878</t>
  </si>
  <si>
    <t>solution_{04-00-02}_{06-02}_05_decomposedNeighborhoodSearch_20250725T001206497</t>
  </si>
  <si>
    <t>solution_{04-00-02}_{06-02}_05_decomposedRandom_20250710T212328292</t>
  </si>
  <si>
    <t>solution_{04-00-02}_{06-02}_05_decomposedRandom_20250725T114034544</t>
  </si>
  <si>
    <t>solution_{04-00-02}_{06-02}_05_localRefinement_20250828T200702325</t>
  </si>
  <si>
    <t>solution_{04-00-02}_{06-02}_05_localRefinement_20250831T041208791</t>
  </si>
  <si>
    <t>20250831T041208791</t>
  </si>
  <si>
    <t>solution_{04-01-01}_{06-02}_01_cplexIntegrated_20250710T140051246</t>
  </si>
  <si>
    <t>20250710T140051246</t>
  </si>
  <si>
    <t>20250710 14:00:51</t>
  </si>
  <si>
    <t>solution_{04-01-01}_{06-02}_01_cplexIntegrated_20250830T185624421</t>
  </si>
  <si>
    <t>20250830T185624421</t>
  </si>
  <si>
    <t>20250830 18:56:24</t>
  </si>
  <si>
    <t>solution_{04-01-01}_{06-02}_01_decomposedNeighborhoodSearch_20250710T010802958</t>
  </si>
  <si>
    <t>20250710T010802958</t>
  </si>
  <si>
    <t>20250710 01:08:02</t>
  </si>
  <si>
    <t>solution_{04-01-01}_{06-02}_01_decomposedNeighborhoodSearch_20250721T172441878</t>
  </si>
  <si>
    <t>solution_{04-01-01}_{06-02}_01_decomposedNeighborhoodSearch_20250725T011948690</t>
  </si>
  <si>
    <t>20250725T011948690</t>
  </si>
  <si>
    <t>20250725 01:19:48</t>
  </si>
  <si>
    <t>solution_{04-01-01}_{06-02}_01_decomposedRandom_20250710T222328818</t>
  </si>
  <si>
    <t>20250710T222328818</t>
  </si>
  <si>
    <t>20250710 22:23:28</t>
  </si>
  <si>
    <t>solution_{04-01-01}_{06-02}_01_decomposedRandom_20250725T131246430</t>
  </si>
  <si>
    <t>20250725T131246430</t>
  </si>
  <si>
    <t>20250725 13:12:46</t>
  </si>
  <si>
    <t>solution_{04-01-01}_{06-02}_01_localRefinement_20250831T081210364</t>
  </si>
  <si>
    <t>20250831T081210364</t>
  </si>
  <si>
    <t>20250831 08:12:10</t>
  </si>
  <si>
    <t>solution_{04-01-01}_{06-02}_02_cplexIntegrated_20250710T140051246</t>
  </si>
  <si>
    <t>solution_{04-01-01}_{06-02}_02_decomposedNeighborhoodSearch_20250710T010802957</t>
  </si>
  <si>
    <t>20250710T010802957</t>
  </si>
  <si>
    <t>solution_{04-01-01}_{06-02}_02_decomposedNeighborhoodSearch_20250721T172441878</t>
  </si>
  <si>
    <t>solution_{04-01-01}_{06-02}_02_decomposedNeighborhoodSearch_20250725T013145392</t>
  </si>
  <si>
    <t>20250725T013145392</t>
  </si>
  <si>
    <t>20250725 01:31:45</t>
  </si>
  <si>
    <t>solution_{04-01-01}_{06-02}_02_decomposedRandom_20250710T222328837</t>
  </si>
  <si>
    <t>20250710T222328837</t>
  </si>
  <si>
    <t>solution_{04-01-01}_{06-02}_02_decomposedRandom_20250725T134035116</t>
  </si>
  <si>
    <t>20250725T134035116</t>
  </si>
  <si>
    <t>20250725 13:40:35</t>
  </si>
  <si>
    <t>solution_{04-01-01}_{06-02}_02_localRefinement_20250831T081210456</t>
  </si>
  <si>
    <t>20250831T081210456</t>
  </si>
  <si>
    <t>solution_{04-01-01}_{06-02}_03_cplexIntegrated_20250710T140051246</t>
  </si>
  <si>
    <t>solution_{04-01-01}_{06-02}_03_cplexIntegrated_20250830T195234811</t>
  </si>
  <si>
    <t>20250830T195234811</t>
  </si>
  <si>
    <t>20250830 19:52:34</t>
  </si>
  <si>
    <t>solution_{04-01-01}_{06-02}_03_decomposedNeighborhoodSearch_20250710T010802957</t>
  </si>
  <si>
    <t>solution_{04-01-01}_{06-02}_03_decomposedNeighborhoodSearch_20250721T172441878</t>
  </si>
  <si>
    <t>solution_{04-01-01}_{06-02}_03_decomposedNeighborhoodSearch_20250725T021206969</t>
  </si>
  <si>
    <t>20250725T021206969</t>
  </si>
  <si>
    <t>20250725 02:12:06</t>
  </si>
  <si>
    <t>solution_{04-01-01}_{06-02}_03_decomposedRandom_20250710T222328838</t>
  </si>
  <si>
    <t>20250710T222328838</t>
  </si>
  <si>
    <t>solution_{04-01-01}_{06-02}_03_decomposedRandom_20250725T134035357</t>
  </si>
  <si>
    <t>20250725T134035357</t>
  </si>
  <si>
    <t>solution_{04-01-01}_{06-02}_03_localRefinement_20250828T200702325</t>
  </si>
  <si>
    <t>solution_{04-01-01}_{06-02}_03_localRefinement_20250831T081210604</t>
  </si>
  <si>
    <t>20250831T081210604</t>
  </si>
  <si>
    <t>solution_{04-01-01}_{06-02}_04_cplexIntegrated_20250710T140051246</t>
  </si>
  <si>
    <t>solution_{04-01-01}_{06-02}_04_cplexIntegrated_20250830T195234869</t>
  </si>
  <si>
    <t>20250830T195234869</t>
  </si>
  <si>
    <t>solution_{04-01-01}_{06-02}_04_decomposedNeighborhoodSearch_20250710T010802957</t>
  </si>
  <si>
    <t>solution_{04-01-01}_{06-02}_04_decomposedNeighborhoodSearch_20250721T172846509</t>
  </si>
  <si>
    <t>20250721T172846509</t>
  </si>
  <si>
    <t>20250721 17:28:46</t>
  </si>
  <si>
    <t>solution_{04-01-01}_{06-02}_04_decomposedNeighborhoodSearch_20250725T021206969</t>
  </si>
  <si>
    <t>solution_{04-01-01}_{06-02}_04_decomposedRandom_20250710T222328902</t>
  </si>
  <si>
    <t>20250710T222328902</t>
  </si>
  <si>
    <t>solution_{04-01-01}_{06-02}_04_decomposedRandom_20250725T134035619</t>
  </si>
  <si>
    <t>20250725T134035619</t>
  </si>
  <si>
    <t>solution_{04-01-01}_{06-02}_04_localRefinement_20250831T091211083</t>
  </si>
  <si>
    <t>20250831T091211083</t>
  </si>
  <si>
    <t>20250831 09:12:11</t>
  </si>
  <si>
    <t>solution_{04-01-01}_{06-02}_05_cplexIntegrated_20250710T140051246</t>
  </si>
  <si>
    <t>solution_{04-01-01}_{06-02}_05_cplexIntegrated_20250830T195235112</t>
  </si>
  <si>
    <t>20250830T195235112</t>
  </si>
  <si>
    <t>20250830 19:52:35</t>
  </si>
  <si>
    <t>solution_{04-01-01}_{06-02}_05_decomposedNeighborhoodSearch_20250710T010802957</t>
  </si>
  <si>
    <t>solution_{04-01-01}_{06-02}_05_decomposedNeighborhoodSearch_20250721T172927285</t>
  </si>
  <si>
    <t>20250721T172927285</t>
  </si>
  <si>
    <t>20250721 17:29:27</t>
  </si>
  <si>
    <t>solution_{04-01-01}_{06-02}_05_decomposedNeighborhoodSearch_20250725T021207092</t>
  </si>
  <si>
    <t>20250725T021207092</t>
  </si>
  <si>
    <t>20250725 02:12:07</t>
  </si>
  <si>
    <t>solution_{04-01-01}_{06-02}_05_decomposedRandom_20250710T222328915</t>
  </si>
  <si>
    <t>20250710T222328915</t>
  </si>
  <si>
    <t>solution_{04-01-01}_{06-02}_05_decomposedRandom_20250725T134035660</t>
  </si>
  <si>
    <t>20250725T134035660</t>
  </si>
  <si>
    <t>solution_{04-01-01}_{06-02}_05_localRefinement_20250831T091211093</t>
  </si>
  <si>
    <t>20250831T091211093</t>
  </si>
  <si>
    <t>solution_{06-00-03}_{06-03}_01_cplexIntegrated_20250709T185734723</t>
  </si>
  <si>
    <t>solution_{06-00-03}_{06-03}_01_cplexIntegrated_20250830T185233477</t>
  </si>
  <si>
    <t>20250830T185233477</t>
  </si>
  <si>
    <t>20250830 18:52:33</t>
  </si>
  <si>
    <t>solution_{06-00-03}_{06-03}_01_decomposedNeighborhoodSearch_20250709T174527104</t>
  </si>
  <si>
    <t>solution_{06-00-03}_{06-03}_01_decomposedNeighborhoodSearch_20250721T172441878</t>
  </si>
  <si>
    <t>solution_{06-00-03}_{06-03}_01_decomposedNeighborhoodSearch_20250725T001206496</t>
  </si>
  <si>
    <t>solution_{06-00-03}_{06-03}_01_decomposedRandom_20250710T212328292</t>
  </si>
  <si>
    <t>solution_{06-00-03}_{06-03}_01_decomposedRandom_20250725T114034544</t>
  </si>
  <si>
    <t>solution_{06-00-03}_{06-03}_01_localRefinement_20250831T041208804</t>
  </si>
  <si>
    <t>20250831T041208804</t>
  </si>
  <si>
    <t>solution_{06-00-03}_{06-03}_02_cplexIntegrated_20250709T185734723</t>
  </si>
  <si>
    <t>solution_{06-00-03}_{06-03}_02_cplexIntegrated_20250830T185234885</t>
  </si>
  <si>
    <t>20250830T185234885</t>
  </si>
  <si>
    <t>20250830 18:52:34</t>
  </si>
  <si>
    <t>solution_{06-00-03}_{06-03}_02_decomposedNeighborhoodSearch_20250709T174527104</t>
  </si>
  <si>
    <t>solution_{06-00-03}_{06-03}_02_decomposedNeighborhoodSearch_20250721T172441878</t>
  </si>
  <si>
    <t>solution_{06-00-03}_{06-03}_02_decomposedNeighborhoodSearch_20250725T001534614</t>
  </si>
  <si>
    <t>20250725T001534614</t>
  </si>
  <si>
    <t>20250725 00:15:34</t>
  </si>
  <si>
    <t>solution_{06-00-03}_{06-03}_02_decomposedRandom_20250710T212328292</t>
  </si>
  <si>
    <t>solution_{06-00-03}_{06-03}_02_decomposedRandom_20250725T115449100</t>
  </si>
  <si>
    <t>20250725T115449100</t>
  </si>
  <si>
    <t>20250725 11:54:49</t>
  </si>
  <si>
    <t>solution_{06-00-03}_{06-03}_02_localRefinement_20250831T041208818</t>
  </si>
  <si>
    <t>20250831T041208818</t>
  </si>
  <si>
    <t>solution_{06-00-03}_{06-03}_03_cplexIntegrated_20250709T185734723</t>
  </si>
  <si>
    <t>solution_{06-00-03}_{06-03}_03_cplexIntegrated_20250830T185234893</t>
  </si>
  <si>
    <t>20250830T185234893</t>
  </si>
  <si>
    <t>solution_{06-00-03}_{06-03}_03_decomposedNeighborhoodSearch_20250709T174527104</t>
  </si>
  <si>
    <t>solution_{06-00-03}_{06-03}_03_decomposedNeighborhoodSearch_20250721T172441878</t>
  </si>
  <si>
    <t>solution_{06-00-03}_{06-03}_03_decomposedNeighborhoodSearch_20250725T001608273</t>
  </si>
  <si>
    <t>20250725T001608273</t>
  </si>
  <si>
    <t>20250725 00:16:08</t>
  </si>
  <si>
    <t>solution_{06-00-03}_{06-03}_03_decomposedRandom_20250710T212328292</t>
  </si>
  <si>
    <t>solution_{06-00-03}_{06-03}_03_decomposedRandom_20250725T120544687</t>
  </si>
  <si>
    <t>20250725T120544687</t>
  </si>
  <si>
    <t>20250725 12:05:44</t>
  </si>
  <si>
    <t>solution_{06-00-03}_{06-03}_03_localRefinement_20250831T051208764</t>
  </si>
  <si>
    <t>20250831T051208764</t>
  </si>
  <si>
    <t>20250831 05:12:08</t>
  </si>
  <si>
    <t>solution_{06-00-03}_{06-03}_04_cplexIntegrated_20250709T185734723</t>
  </si>
  <si>
    <t>solution_{06-00-03}_{06-03}_04_cplexIntegrated_20250830T185235481</t>
  </si>
  <si>
    <t>20250830T185235481</t>
  </si>
  <si>
    <t>20250830 18:52:35</t>
  </si>
  <si>
    <t>solution_{06-00-03}_{06-03}_04_decomposedNeighborhoodSearch_20250709T174527104</t>
  </si>
  <si>
    <t>solution_{06-00-03}_{06-03}_04_decomposedNeighborhoodSearch_20250721T172441878</t>
  </si>
  <si>
    <t>solution_{06-00-03}_{06-03}_04_decomposedNeighborhoodSearch_20250725T001635789</t>
  </si>
  <si>
    <t>20250725T001635789</t>
  </si>
  <si>
    <t>20250725 00:16:35</t>
  </si>
  <si>
    <t>solution_{06-00-03}_{06-03}_04_decomposedRandom_20250710T212328292</t>
  </si>
  <si>
    <t>solution_{06-00-03}_{06-03}_04_decomposedRandom_20250725T121138285</t>
  </si>
  <si>
    <t>20250725T121138285</t>
  </si>
  <si>
    <t>20250725 12:11:38</t>
  </si>
  <si>
    <t>solution_{06-00-03}_{06-03}_04_localRefinement_20250828T200702325</t>
  </si>
  <si>
    <t>solution_{06-00-03}_{06-03}_04_localRefinement_20250831T051208908</t>
  </si>
  <si>
    <t>20250831T051208908</t>
  </si>
  <si>
    <t>solution_{06-00-03}_{06-03}_05_cplexIntegrated_20250709T185734723</t>
  </si>
  <si>
    <t>solution_{06-00-03}_{06-03}_05_cplexIntegrated_20250830T185238114</t>
  </si>
  <si>
    <t>20250830T185238114</t>
  </si>
  <si>
    <t>20250830 18:52:38</t>
  </si>
  <si>
    <t>solution_{06-00-03}_{06-03}_05_decomposedNeighborhoodSearch_20250709T174527104</t>
  </si>
  <si>
    <t>solution_{06-00-03}_{06-03}_05_decomposedNeighborhoodSearch_20250721T172441878</t>
  </si>
  <si>
    <t>solution_{06-00-03}_{06-03}_05_decomposedNeighborhoodSearch_20250725T001947984</t>
  </si>
  <si>
    <t>20250725T001947984</t>
  </si>
  <si>
    <t>20250725 00:19:47</t>
  </si>
  <si>
    <t>solution_{06-00-03}_{06-03}_05_decomposedRandom_20250710T212328292</t>
  </si>
  <si>
    <t>solution_{06-00-03}_{06-03}_05_decomposedRandom_20250725T121246137</t>
  </si>
  <si>
    <t>20250725T121246137</t>
  </si>
  <si>
    <t>20250725 12:12:46</t>
  </si>
  <si>
    <t>solution_{06-00-03}_{06-03}_05_localRefinement_20250828T200702325</t>
  </si>
  <si>
    <t>solution_{06-00-03}_{06-03}_05_localRefinement_20250831T051209024</t>
  </si>
  <si>
    <t>20250831T051209024</t>
  </si>
  <si>
    <t>20250831 05:12:09</t>
  </si>
  <si>
    <t>solution_{08-00-04}_{06-04}_01_cplexIntegrated_20250709T185734723</t>
  </si>
  <si>
    <t>solution_{08-00-04}_{06-04}_01_cplexIntegrated_20250830T195237446</t>
  </si>
  <si>
    <t>20250830T195237446</t>
  </si>
  <si>
    <t>20250830 19:52:37</t>
  </si>
  <si>
    <t>solution_{08-00-04}_{06-04}_01_decomposedNeighborhoodSearch_20250709T174527104</t>
  </si>
  <si>
    <t>solution_{08-00-04}_{06-04}_01_decomposedNeighborhoodSearch_20250721T161133394</t>
  </si>
  <si>
    <t>20250721T161133394</t>
  </si>
  <si>
    <t>20250721 16:11:33</t>
  </si>
  <si>
    <t>solution_{08-00-04}_{06-04}_01_decomposedNeighborhoodSearch_20250725T003145197</t>
  </si>
  <si>
    <t>20250725T003145197</t>
  </si>
  <si>
    <t>20250725 00:31:45</t>
  </si>
  <si>
    <t>solution_{08-00-04}_{06-04}_01_decomposedRandom_20250710T212328292</t>
  </si>
  <si>
    <t>solution_{08-00-04}_{06-04}_01_decomposedRandom_20250721T161150237</t>
  </si>
  <si>
    <t>20250721T161150237</t>
  </si>
  <si>
    <t>20250721 16:11:50</t>
  </si>
  <si>
    <t>solution_{08-00-04}_{06-04}_01_decomposedRandom_20250725T124034850</t>
  </si>
  <si>
    <t>20250725T124034850</t>
  </si>
  <si>
    <t>20250725 12:40:34</t>
  </si>
  <si>
    <t>solution_{08-00-04}_{06-04}_01_localRefinement_20250831T051209044</t>
  </si>
  <si>
    <t>20250831T051209044</t>
  </si>
  <si>
    <t>solution_{08-00-04}_{06-04}_02_cplexIntegrated_20250709T185734723</t>
  </si>
  <si>
    <t>solution_{08-00-04}_{06-04}_02_cplexIntegrated_20250830T195239292</t>
  </si>
  <si>
    <t>20250830T195239292</t>
  </si>
  <si>
    <t>20250830 19:52:39</t>
  </si>
  <si>
    <t>solution_{08-00-04}_{06-04}_02_decomposedNeighborhoodSearch_20250709T174527104</t>
  </si>
  <si>
    <t>solution_{08-00-04}_{06-04}_02_decomposedNeighborhoodSearch_20250721T161133394</t>
  </si>
  <si>
    <t>solution_{08-00-04}_{06-04}_02_decomposedNeighborhoodSearch_20250725T011206813</t>
  </si>
  <si>
    <t>20250725T011206813</t>
  </si>
  <si>
    <t>20250725 01:12:06</t>
  </si>
  <si>
    <t>solution_{08-00-04}_{06-04}_02_decomposedRandom_20250710T212328292</t>
  </si>
  <si>
    <t>solution_{08-00-04}_{06-04}_02_decomposedRandom_20250721T161150238</t>
  </si>
  <si>
    <t>20250721T161150238</t>
  </si>
  <si>
    <t>solution_{08-00-04}_{06-04}_02_decomposedRandom_20250725T124034880</t>
  </si>
  <si>
    <t>20250725T124034880</t>
  </si>
  <si>
    <t>solution_{08-00-04}_{06-04}_02_localRefinement_20250828T200702325</t>
  </si>
  <si>
    <t>solution_{08-00-04}_{06-04}_02_localRefinement_20250831T061209107</t>
  </si>
  <si>
    <t>20250831T061209107</t>
  </si>
  <si>
    <t>20250831 06:12:09</t>
  </si>
  <si>
    <t>solution_{08-00-04}_{06-04}_03_cplexIntegrated_20250709T185734723</t>
  </si>
  <si>
    <t>solution_{08-00-04}_{06-04}_03_cplexIntegrated_20250830T195239353</t>
  </si>
  <si>
    <t>20250830T195239353</t>
  </si>
  <si>
    <t>solution_{08-00-04}_{06-04}_03_decomposedNeighborhoodSearch_20250709T174527104</t>
  </si>
  <si>
    <t>solution_{08-00-04}_{06-04}_03_decomposedNeighborhoodSearch_20250721T161133394</t>
  </si>
  <si>
    <t>solution_{08-00-04}_{06-04}_03_decomposedNeighborhoodSearch_20250725T011206818</t>
  </si>
  <si>
    <t>20250725T011206818</t>
  </si>
  <si>
    <t>solution_{08-00-04}_{06-04}_03_decomposedRandom_20250710T212328292</t>
  </si>
  <si>
    <t>solution_{08-00-04}_{06-04}_03_decomposedRandom_20250721T161150237</t>
  </si>
  <si>
    <t>solution_{08-00-04}_{06-04}_03_decomposedRandom_20250725T124034933</t>
  </si>
  <si>
    <t>20250725T124034933</t>
  </si>
  <si>
    <t>solution_{08-00-04}_{06-04}_03_localRefinement_20250831T061209235</t>
  </si>
  <si>
    <t>20250831T061209235</t>
  </si>
  <si>
    <t>solution_{08-00-04}_{06-04}_04_cplexIntegrated_20250709T185734723</t>
  </si>
  <si>
    <t>solution_{08-00-04}_{06-04}_04_cplexIntegrated_20250830T195239723</t>
  </si>
  <si>
    <t>20250830T195239723</t>
  </si>
  <si>
    <t>solution_{08-00-04}_{06-04}_04_decomposedNeighborhoodSearch_20250709T174527104</t>
  </si>
  <si>
    <t>solution_{08-00-04}_{06-04}_04_decomposedNeighborhoodSearch_20250721T161133394</t>
  </si>
  <si>
    <t>solution_{08-00-04}_{06-04}_04_decomposedNeighborhoodSearch_20250725T011206852</t>
  </si>
  <si>
    <t>20250725T011206852</t>
  </si>
  <si>
    <t>solution_{08-00-04}_{06-04}_04_decomposedRandom_20250710T212328292</t>
  </si>
  <si>
    <t>solution_{08-00-04}_{06-04}_04_decomposedRandom_20250721T161150237</t>
  </si>
  <si>
    <t>solution_{08-00-04}_{06-04}_04_decomposedRandom_20250725T124035243</t>
  </si>
  <si>
    <t>20250725T124035243</t>
  </si>
  <si>
    <t>20250725 12:40:35</t>
  </si>
  <si>
    <t>solution_{08-00-04}_{06-04}_04_localRefinement_20250831T061209274</t>
  </si>
  <si>
    <t>20250831T061209274</t>
  </si>
  <si>
    <t>solution_{08-00-04}_{06-04}_05_cplexIntegrated_20250709T185736559</t>
  </si>
  <si>
    <t>20250709T185736559</t>
  </si>
  <si>
    <t>20250709 18:57:36</t>
  </si>
  <si>
    <t>solution_{08-00-04}_{06-04}_05_cplexIntegrated_20250830T195241480</t>
  </si>
  <si>
    <t>20250830T195241480</t>
  </si>
  <si>
    <t>20250830 19:52:41</t>
  </si>
  <si>
    <t>solution_{08-00-04}_{06-04}_05_decomposedNeighborhoodSearch_20250709T174948716</t>
  </si>
  <si>
    <t>20250709T174948716</t>
  </si>
  <si>
    <t>20250709 17:49:48</t>
  </si>
  <si>
    <t>solution_{08-00-04}_{06-04}_05_decomposedNeighborhoodSearch_20250721T161133394</t>
  </si>
  <si>
    <t>solution_{08-00-04}_{06-04}_05_decomposedNeighborhoodSearch_20250725T011206870</t>
  </si>
  <si>
    <t>20250725T011206870</t>
  </si>
  <si>
    <t>solution_{08-00-04}_{06-04}_05_decomposedRandom_20250710T214057021</t>
  </si>
  <si>
    <t>20250710T214057021</t>
  </si>
  <si>
    <t>20250710 21:40:57</t>
  </si>
  <si>
    <t>solution_{08-00-04}_{06-04}_05_decomposedRandom_20250721T161150238</t>
  </si>
  <si>
    <t>solution_{08-00-04}_{06-04}_05_decomposedRandom_20250725T124035248</t>
  </si>
  <si>
    <t>20250725T124035248</t>
  </si>
  <si>
    <t>solution_{08-00-04}_{06-04}_05_localRefinement_20250828T210702692</t>
  </si>
  <si>
    <t>20250828T210702692</t>
  </si>
  <si>
    <t>20250828 21:07:02</t>
  </si>
  <si>
    <t>solution_{08-00-04}_{06-04}_05_localRefinement_20250831T061209448</t>
  </si>
  <si>
    <t>20250831T061209448</t>
  </si>
  <si>
    <t>solution_{08-02-02}_{06-04}_01_decomposedNeighborhoodSearch_20250710T010802958</t>
  </si>
  <si>
    <t>solution_{08-02-02}_{06-04}_01_decomposedNeighborhoodSearch_20250721T172958103</t>
  </si>
  <si>
    <t>20250721T172958103</t>
  </si>
  <si>
    <t>20250721 17:29:58</t>
  </si>
  <si>
    <t>solution_{08-02-02}_{06-04}_01_decomposedNeighborhoodSearch_20250725T021207143</t>
  </si>
  <si>
    <t>20250725T021207143</t>
  </si>
  <si>
    <t>solution_{08-02-02}_{06-04}_01_decomposedRandom_20250710T222328933</t>
  </si>
  <si>
    <t>20250710T222328933</t>
  </si>
  <si>
    <t>solution_{08-02-02}_{06-04}_01_decomposedRandom_20250725T134035693</t>
  </si>
  <si>
    <t>20250725T134035693</t>
  </si>
  <si>
    <t>solution_{08-02-02}_{06-04}_01_localRefinement_20250828T210702692</t>
  </si>
  <si>
    <t>solution_{08-02-02}_{06-04}_01_localRefinement_20250831T091211257</t>
  </si>
  <si>
    <t>20250831T091211257</t>
  </si>
  <si>
    <t>solution_{08-02-02}_{06-04}_02_decomposedNeighborhoodSearch_20250710T010802958</t>
  </si>
  <si>
    <t>solution_{08-02-02}_{06-04}_02_decomposedNeighborhoodSearch_20250721T173358371</t>
  </si>
  <si>
    <t>20250721T173358371</t>
  </si>
  <si>
    <t>20250721 17:33:58</t>
  </si>
  <si>
    <t>solution_{08-02-02}_{06-04}_02_decomposedNeighborhoodSearch_20250725T021207523</t>
  </si>
  <si>
    <t>20250725T021207523</t>
  </si>
  <si>
    <t>solution_{08-02-02}_{06-04}_02_decomposedRandom_20250710T222328956</t>
  </si>
  <si>
    <t>20250710T222328956</t>
  </si>
  <si>
    <t>solution_{08-02-02}_{06-04}_02_decomposedRandom_20250725T134035817</t>
  </si>
  <si>
    <t>20250725T134035817</t>
  </si>
  <si>
    <t>solution_{08-02-02}_{06-04}_02_localRefinement_20250828T210702692</t>
  </si>
  <si>
    <t>solution_{08-02-02}_{06-04}_02_localRefinement_20250831T091211334</t>
  </si>
  <si>
    <t>20250831T091211334</t>
  </si>
  <si>
    <t>solution_{08-02-02}_{06-04}_03_decomposedNeighborhoodSearch_20250710T010802958</t>
  </si>
  <si>
    <t>solution_{08-02-02}_{06-04}_03_decomposedNeighborhoodSearch_20250721T174919287</t>
  </si>
  <si>
    <t>20250721T174919287</t>
  </si>
  <si>
    <t>20250721 17:49:19</t>
  </si>
  <si>
    <t>solution_{08-02-02}_{06-04}_03_decomposedNeighborhoodSearch_20250725T021207713</t>
  </si>
  <si>
    <t>20250725T021207713</t>
  </si>
  <si>
    <t>solution_{08-02-02}_{06-04}_03_decomposedRandom_20250710T222329052</t>
  </si>
  <si>
    <t>20250710T222329052</t>
  </si>
  <si>
    <t>20250710 22:23:29</t>
  </si>
  <si>
    <t>solution_{08-02-02}_{06-04}_03_decomposedRandom_20250725T134036523</t>
  </si>
  <si>
    <t>20250725T134036523</t>
  </si>
  <si>
    <t>20250725 13:40:36</t>
  </si>
  <si>
    <t>solution_{08-02-02}_{06-04}_03_localRefinement_20250831T101211984</t>
  </si>
  <si>
    <t>20250831T101211984</t>
  </si>
  <si>
    <t>20250831 10:12:11</t>
  </si>
  <si>
    <t>solution_{08-02-02}_{06-04}_04_decomposedNeighborhoodSearch_20250721T182442283</t>
  </si>
  <si>
    <t>20250721T182442283</t>
  </si>
  <si>
    <t>20250721 18:24:42</t>
  </si>
  <si>
    <t>solution_{08-02-02}_{06-04}_04_decomposedNeighborhoodSearch_20250724T225157489</t>
  </si>
  <si>
    <t>20250724T225157489</t>
  </si>
  <si>
    <t>20250724 22:51:57</t>
  </si>
  <si>
    <t>solution_{08-02-02}_{06-04}_04_decomposedNeighborhoodSearch_20250725T021536089</t>
  </si>
  <si>
    <t>20250725T021536089</t>
  </si>
  <si>
    <t>20250725 02:15:36</t>
  </si>
  <si>
    <t>solution_{08-02-02}_{06-04}_04_decomposedRandom_20250724T222618913</t>
  </si>
  <si>
    <t>20250724T222618913</t>
  </si>
  <si>
    <t>20250724 22:26:18</t>
  </si>
  <si>
    <t>solution_{08-02-02}_{06-04}_04_decomposedRandom_20250725T135450142</t>
  </si>
  <si>
    <t>20250725T135450142</t>
  </si>
  <si>
    <t>20250725 13:54:50</t>
  </si>
  <si>
    <t>solution_{08-02-02}_{06-04}_04_localRefinement_20250828T210702739</t>
  </si>
  <si>
    <t>20250828T210702739</t>
  </si>
  <si>
    <t>solution_{08-02-02}_{06-04}_04_localRefinement_20250831T101212298</t>
  </si>
  <si>
    <t>20250831T101212298</t>
  </si>
  <si>
    <t>20250831 10:12:12</t>
  </si>
  <si>
    <t>solution_{08-02-02}_{06-04}_05_decomposedNeighborhoodSearch_20250710T010802958</t>
  </si>
  <si>
    <t>solution_{08-02-02}_{06-04}_05_decomposedNeighborhoodSearch_20250721T182442284</t>
  </si>
  <si>
    <t>20250721T182442284</t>
  </si>
  <si>
    <t>solution_{08-02-02}_{06-04}_05_decomposedNeighborhoodSearch_20250725T021609488</t>
  </si>
  <si>
    <t>20250725T021609488</t>
  </si>
  <si>
    <t>20250725 02:16:09</t>
  </si>
  <si>
    <t>solution_{08-02-02}_{06-04}_05_decomposedRandom_20250710T222329131</t>
  </si>
  <si>
    <t>20250710T222329131</t>
  </si>
  <si>
    <t>solution_{08-02-02}_{06-04}_05_decomposedRandom_20250725T140545320</t>
  </si>
  <si>
    <t>20250725T140545320</t>
  </si>
  <si>
    <t>20250725 14:05:45</t>
  </si>
  <si>
    <t>solution_{08-02-02}_{06-04}_05_localRefinement_20250831T101214766</t>
  </si>
  <si>
    <t>20250831T101214766</t>
  </si>
  <si>
    <t>20250831 10:12:14</t>
  </si>
  <si>
    <t>solution_{10-00-05}_{06-05}_01_cplexIntegrated_20250709T185738228</t>
  </si>
  <si>
    <t>20250709T185738228</t>
  </si>
  <si>
    <t>20250709 18:57:38</t>
  </si>
  <si>
    <t>solution_{10-00-05}_{06-05}_01_cplexIntegrated_20250830T195629795</t>
  </si>
  <si>
    <t>20250830T195629795</t>
  </si>
  <si>
    <t>20250830 19:56:29</t>
  </si>
  <si>
    <t>solution_{10-00-05}_{06-05}_01_decomposedNeighborhoodSearch_20250709T175032776</t>
  </si>
  <si>
    <t>20250709T175032776</t>
  </si>
  <si>
    <t>20250709 17:50:32</t>
  </si>
  <si>
    <t>solution_{10-00-05}_{06-05}_01_decomposedNeighborhoodSearch_20250721T172441878</t>
  </si>
  <si>
    <t>solution_{10-00-05}_{06-05}_01_decomposedNeighborhoodSearch_20250725T011207007</t>
  </si>
  <si>
    <t>20250725T011207007</t>
  </si>
  <si>
    <t>20250725 01:12:07</t>
  </si>
  <si>
    <t>solution_{10-00-05}_{06-05}_01_decomposedRandom_20250710T215421601</t>
  </si>
  <si>
    <t>20250710T215421601</t>
  </si>
  <si>
    <t>20250710 21:54:21</t>
  </si>
  <si>
    <t>solution_{10-00-05}_{06-05}_01_decomposedRandom_20250725T124035279</t>
  </si>
  <si>
    <t>20250725T124035279</t>
  </si>
  <si>
    <t>solution_{10-00-05}_{06-05}_01_localRefinement_20250828T210702777</t>
  </si>
  <si>
    <t>20250828T210702777</t>
  </si>
  <si>
    <t>solution_{10-00-05}_{06-05}_01_localRefinement_20250831T071209549</t>
  </si>
  <si>
    <t>20250831T071209549</t>
  </si>
  <si>
    <t>20250831 07:12:09</t>
  </si>
  <si>
    <t>solution_{10-00-05}_{06-05}_02_cplexIntegrated_20250709T185738368</t>
  </si>
  <si>
    <t>20250709T185738368</t>
  </si>
  <si>
    <t>solution_{10-00-05}_{06-05}_02_cplexIntegrated_20250830T200907769</t>
  </si>
  <si>
    <t>20250830T200907769</t>
  </si>
  <si>
    <t>20250830 20:09:07</t>
  </si>
  <si>
    <t>solution_{10-00-05}_{06-05}_02_decomposedNeighborhoodSearch_20250709T175105176</t>
  </si>
  <si>
    <t>20250709T175105176</t>
  </si>
  <si>
    <t>20250709 17:51:05</t>
  </si>
  <si>
    <t>solution_{10-00-05}_{06-05}_02_decomposedNeighborhoodSearch_20250721T172441878</t>
  </si>
  <si>
    <t>solution_{10-00-05}_{06-05}_02_decomposedNeighborhoodSearch_20250725T011207088</t>
  </si>
  <si>
    <t>20250725T011207088</t>
  </si>
  <si>
    <t>solution_{10-00-05}_{06-05}_02_decomposedRandom_20250710T215937979</t>
  </si>
  <si>
    <t>20250710T215937979</t>
  </si>
  <si>
    <t>20250710 21:59:37</t>
  </si>
  <si>
    <t>solution_{10-00-05}_{06-05}_02_decomposedRandom_20250725T124035671</t>
  </si>
  <si>
    <t>20250725T124035671</t>
  </si>
  <si>
    <t>solution_{10-00-05}_{06-05}_02_localRefinement_20250828T210702857</t>
  </si>
  <si>
    <t>20250828T210702857</t>
  </si>
  <si>
    <t>solution_{10-00-05}_{06-05}_02_localRefinement_20250831T071209615</t>
  </si>
  <si>
    <t>20250831T071209615</t>
  </si>
  <si>
    <t>solution_{10-00-05}_{06-05}_03_cplexIntegrated_20250709T185738451</t>
  </si>
  <si>
    <t>20250709T185738451</t>
  </si>
  <si>
    <t>solution_{10-00-05}_{06-05}_03_decomposedNeighborhoodSearch_20250709T175935921</t>
  </si>
  <si>
    <t>20250709T175935921</t>
  </si>
  <si>
    <t>20250709 17:59:35</t>
  </si>
  <si>
    <t>solution_{10-00-05}_{06-05}_03_decomposedNeighborhoodSearch_20250721T172441878</t>
  </si>
  <si>
    <t>solution_{10-00-05}_{06-05}_03_decomposedNeighborhoodSearch_20250725T011535065</t>
  </si>
  <si>
    <t>20250725T011535065</t>
  </si>
  <si>
    <t>20250725 01:15:35</t>
  </si>
  <si>
    <t>solution_{10-00-05}_{06-05}_03_decomposedRandom_20250710T220336780</t>
  </si>
  <si>
    <t>20250710T220336780</t>
  </si>
  <si>
    <t>20250710 22:03:36</t>
  </si>
  <si>
    <t>solution_{10-00-05}_{06-05}_03_decomposedRandom_20250725T125449308</t>
  </si>
  <si>
    <t>20250725T125449308</t>
  </si>
  <si>
    <t>20250725 12:54:49</t>
  </si>
  <si>
    <t>solution_{10-00-05}_{06-05}_03_localRefinement_20250831T071209713</t>
  </si>
  <si>
    <t>20250831T071209713</t>
  </si>
  <si>
    <t>solution_{10-00-05}_{06-05}_04_cplexIntegrated_20250709T185739068</t>
  </si>
  <si>
    <t>20250709T185739068</t>
  </si>
  <si>
    <t>20250709 18:57:39</t>
  </si>
  <si>
    <t>solution_{10-00-05}_{06-05}_04_cplexIntegrated_20250830T205242084</t>
  </si>
  <si>
    <t>20250830T205242084</t>
  </si>
  <si>
    <t>20250830 20:52:42</t>
  </si>
  <si>
    <t>solution_{10-00-05}_{06-05}_04_decomposedNeighborhoodSearch_20250709T181019707</t>
  </si>
  <si>
    <t>20250709T181019707</t>
  </si>
  <si>
    <t>20250709 18:10:19</t>
  </si>
  <si>
    <t>solution_{10-00-05}_{06-05}_04_decomposedNeighborhoodSearch_20250721T172441878</t>
  </si>
  <si>
    <t>solution_{10-00-05}_{06-05}_04_decomposedNeighborhoodSearch_20250725T011608439</t>
  </si>
  <si>
    <t>20250725T011608439</t>
  </si>
  <si>
    <t>20250725 01:16:08</t>
  </si>
  <si>
    <t>solution_{10-00-05}_{06-05}_04_decomposedRandom_20250710T222328662</t>
  </si>
  <si>
    <t>20250710T222328662</t>
  </si>
  <si>
    <t>solution_{10-00-05}_{06-05}_04_decomposedRandom_20250725T130544769</t>
  </si>
  <si>
    <t>20250725T130544769</t>
  </si>
  <si>
    <t>20250725 13:05:44</t>
  </si>
  <si>
    <t>solution_{10-00-05}_{06-05}_04_localRefinement_20250828T210703005</t>
  </si>
  <si>
    <t>20250828T210703005</t>
  </si>
  <si>
    <t>20250828 21:07:03</t>
  </si>
  <si>
    <t>solution_{10-00-05}_{06-05}_04_localRefinement_20250831T071209933</t>
  </si>
  <si>
    <t>20250831T071209933</t>
  </si>
  <si>
    <t>solution_{10-00-05}_{06-05}_05_cplexIntegrated_20250709T185900153</t>
  </si>
  <si>
    <t>20250709T185900153</t>
  </si>
  <si>
    <t>20250709 18:59:00</t>
  </si>
  <si>
    <t>solution_{10-00-05}_{06-05}_05_cplexIntegrated_20250830T205242725</t>
  </si>
  <si>
    <t>20250830T205242725</t>
  </si>
  <si>
    <t>solution_{10-00-05}_{06-05}_05_decomposedNeighborhoodSearch_20250709T184527564</t>
  </si>
  <si>
    <t>20250709T184527564</t>
  </si>
  <si>
    <t>20250709 18:45:27</t>
  </si>
  <si>
    <t>solution_{10-00-05}_{06-05}_05_decomposedNeighborhoodSearch_20250721T172441878</t>
  </si>
  <si>
    <t>solution_{10-00-05}_{06-05}_05_decomposedNeighborhoodSearch_20250725T011636139</t>
  </si>
  <si>
    <t>20250725T011636139</t>
  </si>
  <si>
    <t>20250725 01:16:36</t>
  </si>
  <si>
    <t>solution_{10-00-05}_{06-05}_05_decomposedRandom_20250710T222328776</t>
  </si>
  <si>
    <t>20250710T222328776</t>
  </si>
  <si>
    <t>solution_{10-00-05}_{06-05}_05_decomposedRandom_20250725T131139068</t>
  </si>
  <si>
    <t>20250725T131139068</t>
  </si>
  <si>
    <t>20250725 13:11:39</t>
  </si>
  <si>
    <t>solution_{10-00-05}_{06-05}_05_localRefinement_20250831T081210337</t>
  </si>
  <si>
    <t>20250831T081210337</t>
  </si>
  <si>
    <t>solution_{12-03-03}_{06-06}_01_decomposedNeighborhoodSearch_20250710T010802958</t>
  </si>
  <si>
    <t>solution_{12-03-03}_{06-06}_01_decomposedNeighborhoodSearch_20250721T182442414</t>
  </si>
  <si>
    <t>20250721T182442414</t>
  </si>
  <si>
    <t>solution_{12-03-03}_{06-06}_01_decomposedNeighborhoodSearch_20250725T021636556</t>
  </si>
  <si>
    <t>20250725T021636556</t>
  </si>
  <si>
    <t>20250725 02:16:36</t>
  </si>
  <si>
    <t>solution_{12-03-03}_{06-06}_01_decomposedRandom_20250710T222329200</t>
  </si>
  <si>
    <t>20250710T222329200</t>
  </si>
  <si>
    <t>solution_{12-03-03}_{06-06}_01_decomposedRandom_20250725T141139392</t>
  </si>
  <si>
    <t>20250725T141139392</t>
  </si>
  <si>
    <t>20250725 14:11:39</t>
  </si>
  <si>
    <t>solution_{12-03-03}_{06-06}_01_localRefinement_20250828T210703128</t>
  </si>
  <si>
    <t>20250828T210703128</t>
  </si>
  <si>
    <t>solution_{12-03-03}_{06-06}_01_localRefinement_20250831T101215198</t>
  </si>
  <si>
    <t>20250831T101215198</t>
  </si>
  <si>
    <t>20250831 10:12:15</t>
  </si>
  <si>
    <t>solution_{12-03-03}_{06-06}_02_decomposedNeighborhoodSearch_20250710T010802957</t>
  </si>
  <si>
    <t>solution_{12-03-03}_{06-06}_02_decomposedNeighborhoodSearch_20250721T182442420</t>
  </si>
  <si>
    <t>20250721T182442420</t>
  </si>
  <si>
    <t>solution_{12-03-03}_{06-06}_02_decomposedNeighborhoodSearch_20250725T021949533</t>
  </si>
  <si>
    <t>20250725T021949533</t>
  </si>
  <si>
    <t>20250725 02:19:49</t>
  </si>
  <si>
    <t>solution_{12-03-03}_{06-06}_02_decomposedRandom_20250710T222329281</t>
  </si>
  <si>
    <t>20250710T222329281</t>
  </si>
  <si>
    <t>solution_{12-03-03}_{06-06}_02_decomposedRandom_20250725T141246581</t>
  </si>
  <si>
    <t>20250725T141246581</t>
  </si>
  <si>
    <t>20250725 14:12:46</t>
  </si>
  <si>
    <t>solution_{12-03-03}_{06-06}_02_localRefinement_20250828T210703159</t>
  </si>
  <si>
    <t>20250828T210703159</t>
  </si>
  <si>
    <t>solution_{12-03-03}_{06-06}_03_decomposedNeighborhoodSearch_20250710T010802957</t>
  </si>
  <si>
    <t>solution_{12-03-03}_{06-06}_03_decomposedNeighborhoodSearch_20250721T182442480</t>
  </si>
  <si>
    <t>20250721T182442480</t>
  </si>
  <si>
    <t>solution_{12-03-03}_{06-06}_03_decomposedNeighborhoodSearch_20250725T023145586</t>
  </si>
  <si>
    <t>20250725T023145586</t>
  </si>
  <si>
    <t>20250725 02:31:45</t>
  </si>
  <si>
    <t>solution_{12-03-03}_{06-06}_03_decomposedRandom_20250710T222329326</t>
  </si>
  <si>
    <t>20250710T222329326</t>
  </si>
  <si>
    <t>solution_{12-03-03}_{06-06}_03_decomposedRandom_20250725T144036099</t>
  </si>
  <si>
    <t>20250725T144036099</t>
  </si>
  <si>
    <t>20250725 14:40:36</t>
  </si>
  <si>
    <t>solution_{12-03-03}_{06-06}_03_localRefinement_20250828T210703165</t>
  </si>
  <si>
    <t>20250828T210703165</t>
  </si>
  <si>
    <t>solution_{12-03-03}_{06-06}_04_decomposedNeighborhoodSearch_20250710T010802957</t>
  </si>
  <si>
    <t>solution_{12-03-03}_{06-06}_04_decomposedNeighborhoodSearch_20250721T182442538</t>
  </si>
  <si>
    <t>20250721T182442538</t>
  </si>
  <si>
    <t>solution_{12-03-03}_{06-06}_04_decomposedNeighborhoodSearch_20250725T031207345</t>
  </si>
  <si>
    <t>20250725T031207345</t>
  </si>
  <si>
    <t>20250725 03:12:07</t>
  </si>
  <si>
    <t>solution_{12-03-03}_{06-06}_04_decomposedRandom_20250710T222329583</t>
  </si>
  <si>
    <t>20250710T222329583</t>
  </si>
  <si>
    <t>solution_{12-03-03}_{06-06}_04_decomposedRandom_20250725T144036129</t>
  </si>
  <si>
    <t>20250725T144036129</t>
  </si>
  <si>
    <t>solution_{12-03-03}_{06-06}_05_decomposedNeighborhoodSearch_20250710T010802957</t>
  </si>
  <si>
    <t>solution_{12-03-03}_{06-06}_05_decomposedNeighborhoodSearch_20250721T182442571</t>
  </si>
  <si>
    <t>20250721T182442571</t>
  </si>
  <si>
    <t>solution_{12-03-03}_{06-06}_05_decomposedNeighborhoodSearch_20250725T031207519</t>
  </si>
  <si>
    <t>20250725T031207519</t>
  </si>
  <si>
    <t>solution_{12-03-03}_{06-06}_05_decomposedRandom_20250710T224057823</t>
  </si>
  <si>
    <t>20250710T224057823</t>
  </si>
  <si>
    <t>20250710 22:40:57</t>
  </si>
  <si>
    <t>solution_{12-03-03}_{06-06}_05_decomposedRandom_20250725T144036220</t>
  </si>
  <si>
    <t>20250725T144036220</t>
  </si>
  <si>
    <t>solution_{12-03-03}_{06-06}_05_localRefinement_20250828T210703257</t>
  </si>
  <si>
    <t>20250828T210703257</t>
  </si>
  <si>
    <t>solution_{16-04-04}_{06-08}_01_decomposedNeighborhoodSearch_20250710T010802957</t>
  </si>
  <si>
    <t>solution_{16-04-04}_{06-08}_01_decomposedNeighborhoodSearch_20250721T182442623</t>
  </si>
  <si>
    <t>20250721T182442623</t>
  </si>
  <si>
    <t>solution_{16-04-04}_{06-08}_01_decomposedNeighborhoodSearch_20250725T031207605</t>
  </si>
  <si>
    <t>20250725T031207605</t>
  </si>
  <si>
    <t>solution_{16-04-04}_{06-08}_01_decomposedRandom_20250710T225422100</t>
  </si>
  <si>
    <t>20250710T225422100</t>
  </si>
  <si>
    <t>20250710 22:54:22</t>
  </si>
  <si>
    <t>solution_{16-04-04}_{06-08}_01_decomposedRandom_20250725T144036414</t>
  </si>
  <si>
    <t>20250725T144036414</t>
  </si>
  <si>
    <t>solution_{16-04-04}_{06-08}_02_decomposedNeighborhoodSearch_20250710T010802957</t>
  </si>
  <si>
    <t>solution_{16-04-04}_{06-08}_02_decomposedNeighborhoodSearch_20250721T182442662</t>
  </si>
  <si>
    <t>20250721T182442662</t>
  </si>
  <si>
    <t>solution_{16-04-04}_{06-08}_02_decomposedNeighborhoodSearch_20250725T031208017</t>
  </si>
  <si>
    <t>20250725T031208017</t>
  </si>
  <si>
    <t>20250725 03:12:08</t>
  </si>
  <si>
    <t>solution_{16-04-04}_{06-08}_02_decomposedRandom_20250710T225938728</t>
  </si>
  <si>
    <t>20250710T225938728</t>
  </si>
  <si>
    <t>20250710 22:59:38</t>
  </si>
  <si>
    <t>solution_{16-04-04}_{06-08}_02_decomposedRandom_20250725T144036572</t>
  </si>
  <si>
    <t>20250725T144036572</t>
  </si>
  <si>
    <t>solution_{16-04-04}_{06-08}_03_decomposedNeighborhoodSearch_20250710T010802957</t>
  </si>
  <si>
    <t>solution_{16-04-04}_{06-08}_03_decomposedNeighborhoodSearch_20250721T182442802</t>
  </si>
  <si>
    <t>20250721T182442802</t>
  </si>
  <si>
    <t>solution_{16-04-04}_{06-08}_03_decomposedNeighborhoodSearch_20250725T031215103</t>
  </si>
  <si>
    <t>20250725T031215103</t>
  </si>
  <si>
    <t>20250725 03:12:15</t>
  </si>
  <si>
    <t>solution_{16-04-04}_{06-08}_03_decomposedRandom_20250710T230337230</t>
  </si>
  <si>
    <t>20250710T230337230</t>
  </si>
  <si>
    <t>20250710 23:03:37</t>
  </si>
  <si>
    <t>solution_{16-04-04}_{06-08}_03_decomposedRandom_20250725T144036946</t>
  </si>
  <si>
    <t>20250725T144036946</t>
  </si>
  <si>
    <t>solution_{16-04-04}_{06-08}_03_localRefinement_20250828T210703322</t>
  </si>
  <si>
    <t>20250828T210703322</t>
  </si>
  <si>
    <t>solution_{16-04-04}_{06-08}_04_decomposedNeighborhoodSearch_20250710T010802958</t>
  </si>
  <si>
    <t>solution_{16-04-04}_{06-08}_04_decomposedNeighborhoodSearch_20250721T182442826</t>
  </si>
  <si>
    <t>20250721T182442826</t>
  </si>
  <si>
    <t>solution_{16-04-04}_{06-08}_04_decomposedNeighborhoodSearch_20250725T031216904</t>
  </si>
  <si>
    <t>20250725T031216904</t>
  </si>
  <si>
    <t>20250725 03:12:16</t>
  </si>
  <si>
    <t>solution_{16-04-04}_{06-08}_04_decomposedRandom_20250710T232328960</t>
  </si>
  <si>
    <t>20250710T232328960</t>
  </si>
  <si>
    <t>20250710 23:23:28</t>
  </si>
  <si>
    <t>solution_{16-04-04}_{06-08}_04_decomposedRandom_20250725T144057301</t>
  </si>
  <si>
    <t>20250725T144057301</t>
  </si>
  <si>
    <t>20250725 14:40:57</t>
  </si>
  <si>
    <t>solution_{16-04-04}_{06-08}_05_decomposedNeighborhoodSearch_20250710T010803829</t>
  </si>
  <si>
    <t>20250710T010803829</t>
  </si>
  <si>
    <t>20250710 01:08:03</t>
  </si>
  <si>
    <t>solution_{16-04-04}_{06-08}_05_decomposedNeighborhoodSearch_20250721T182442899</t>
  </si>
  <si>
    <t>20250721T182442899</t>
  </si>
  <si>
    <t>solution_{16-04-04}_{06-08}_05_decomposedNeighborhoodSearch_20250725T031537262</t>
  </si>
  <si>
    <t>20250725T031537262</t>
  </si>
  <si>
    <t>20250725 03:15:37</t>
  </si>
  <si>
    <t>solution_{16-04-04}_{06-08}_05_decomposedRandom_20250710T232329253</t>
  </si>
  <si>
    <t>20250710T232329253</t>
  </si>
  <si>
    <t>20250710 23:23:29</t>
  </si>
  <si>
    <t>solution_{16-04-04}_{06-08}_05_decomposedRandom_20250725T145451316</t>
  </si>
  <si>
    <t>20250725T145451316</t>
  </si>
  <si>
    <t>20250725 14:54:51</t>
  </si>
  <si>
    <t>solution_{16-04-04}_{06-08}_05_localRefinement_20250828T210703529</t>
  </si>
  <si>
    <t>20250828T210703529</t>
  </si>
  <si>
    <t>solution_{20-05-05}_{06-10}_01_decomposedNeighborhoodSearch_20250710T020803639</t>
  </si>
  <si>
    <t>20250710T020803639</t>
  </si>
  <si>
    <t>20250710 02:08:03</t>
  </si>
  <si>
    <t>solution_{20-05-05}_{06-10}_01_decomposedNeighborhoodSearch_20250721T182443201</t>
  </si>
  <si>
    <t>20250721T182443201</t>
  </si>
  <si>
    <t>20250721 18:24:43</t>
  </si>
  <si>
    <t>solution_{20-05-05}_{06-10}_01_decomposedNeighborhoodSearch_20250725T031612282</t>
  </si>
  <si>
    <t>20250725T031612282</t>
  </si>
  <si>
    <t>20250725 03:16:12</t>
  </si>
  <si>
    <t>solution_{20-05-05}_{06-10}_01_decomposedRandom_20250710T232329623</t>
  </si>
  <si>
    <t>20250710T232329623</t>
  </si>
  <si>
    <t>solution_{20-05-05}_{06-10}_01_decomposedRandom_20250725T150546275</t>
  </si>
  <si>
    <t>20250725T150546275</t>
  </si>
  <si>
    <t>20250725 15:05:46</t>
  </si>
  <si>
    <t>solution_{20-05-05}_{06-10}_01_localRefinement_20250828T210703602</t>
  </si>
  <si>
    <t>20250828T210703602</t>
  </si>
  <si>
    <t>solution_{20-05-05}_{06-10}_02_decomposedNeighborhoodSearch_20250710T020803791</t>
  </si>
  <si>
    <t>20250710T020803791</t>
  </si>
  <si>
    <t>solution_{20-05-05}_{06-10}_02_decomposedNeighborhoodSearch_20250721T182443220</t>
  </si>
  <si>
    <t>20250721T182443220</t>
  </si>
  <si>
    <t>solution_{20-05-05}_{06-10}_02_decomposedNeighborhoodSearch_20250725T031637811</t>
  </si>
  <si>
    <t>20250725T031637811</t>
  </si>
  <si>
    <t>20250725 03:16:37</t>
  </si>
  <si>
    <t>solution_{20-05-05}_{06-10}_02_decomposedRandom_20250710T232329904</t>
  </si>
  <si>
    <t>20250710T232329904</t>
  </si>
  <si>
    <t>solution_{20-05-05}_{06-10}_02_decomposedRandom_20250725T151140904</t>
  </si>
  <si>
    <t>20250725T151140904</t>
  </si>
  <si>
    <t>20250725 15:11:40</t>
  </si>
  <si>
    <t>solution_{20-05-05}_{06-10}_02_localRefinement_20250828T220703127</t>
  </si>
  <si>
    <t>20250828T220703127</t>
  </si>
  <si>
    <t>20250828 22:07:03</t>
  </si>
  <si>
    <t>solution_{20-05-05}_{06-10}_03_decomposedNeighborhoodSearch_20250710T020803796</t>
  </si>
  <si>
    <t>20250710T020803796</t>
  </si>
  <si>
    <t>solution_{20-05-05}_{06-10}_03_decomposedNeighborhoodSearch_20250721T182443283</t>
  </si>
  <si>
    <t>20250721T182443283</t>
  </si>
  <si>
    <t>solution_{20-05-05}_{06-10}_03_decomposedNeighborhoodSearch_20250725T031951685</t>
  </si>
  <si>
    <t>20250725T031951685</t>
  </si>
  <si>
    <t>20250725 03:19:51</t>
  </si>
  <si>
    <t>solution_{20-05-05}_{06-10}_03_decomposedRandom_20250710T232330151</t>
  </si>
  <si>
    <t>20250710T232330151</t>
  </si>
  <si>
    <t>20250710 23:23:30</t>
  </si>
  <si>
    <t>solution_{20-05-05}_{06-10}_03_decomposedRandom_20250725T151248320</t>
  </si>
  <si>
    <t>20250725T151248320</t>
  </si>
  <si>
    <t>20250725 15:12:48</t>
  </si>
  <si>
    <t>solution_{20-05-05}_{06-10}_03_localRefinement_20250828T220703367</t>
  </si>
  <si>
    <t>20250828T220703367</t>
  </si>
  <si>
    <t>solution_{20-05-05}_{06-10}_04_decomposedNeighborhoodSearch_20250710T020803874</t>
  </si>
  <si>
    <t>20250710T020803874</t>
  </si>
  <si>
    <t>solution_{20-05-05}_{06-10}_04_decomposedNeighborhoodSearch_20250721T182443905</t>
  </si>
  <si>
    <t>20250721T182443905</t>
  </si>
  <si>
    <t>solution_{20-05-05}_{06-10}_04_decomposedNeighborhoodSearch_20250725T033147561</t>
  </si>
  <si>
    <t>20250725T033147561</t>
  </si>
  <si>
    <t>20250725 03:31:47</t>
  </si>
  <si>
    <t>solution_{20-05-05}_{06-10}_04_decomposedRandom_20250710T232330305</t>
  </si>
  <si>
    <t>20250710T232330305</t>
  </si>
  <si>
    <t>solution_{20-05-05}_{06-10}_04_decomposedRandom_20250725T154037122</t>
  </si>
  <si>
    <t>20250725T154037122</t>
  </si>
  <si>
    <t>20250725 15:40:37</t>
  </si>
  <si>
    <t>solution_{20-05-05}_{06-10}_05_decomposedNeighborhoodSearch_20250710T020804101</t>
  </si>
  <si>
    <t>20250710T020804101</t>
  </si>
  <si>
    <t>20250710 02:08:04</t>
  </si>
  <si>
    <t>solution_{20-05-05}_{06-10}_05_decomposedNeighborhoodSearch_20250721T182443948</t>
  </si>
  <si>
    <t>20250721T182443948</t>
  </si>
  <si>
    <t>solution_{20-05-05}_{06-10}_05_decomposedNeighborhoodSearch_20250725T041208709</t>
  </si>
  <si>
    <t>20250725T041208709</t>
  </si>
  <si>
    <t>20250725 04:12:08</t>
  </si>
  <si>
    <t>solution_{20-05-05}_{06-10}_05_decomposedRandom_20250710T232330434</t>
  </si>
  <si>
    <t>20250710T232330434</t>
  </si>
  <si>
    <t>solution_{20-05-05}_{06-10}_05_decomposedRandom_20250725T154037226</t>
  </si>
  <si>
    <t>20250725T154037226</t>
  </si>
  <si>
    <t>solution_{12-00-06}_{06-06}_01_decomposedNeighborhoodSearch_20250904T234629100</t>
  </si>
  <si>
    <t>12-00-06</t>
  </si>
  <si>
    <t>20250904T234629100</t>
  </si>
  <si>
    <t>20250904 23:46:29</t>
  </si>
  <si>
    <t>solution_{12-00-06}_{06-06}_01_decomposedRandom_20250904T002509583</t>
  </si>
  <si>
    <t>20250904T002509583</t>
  </si>
  <si>
    <t>20250904 00:25:09</t>
  </si>
  <si>
    <t>solution_{12-00-06}_{06-06}_01_localRefinement_20250904T002525250</t>
  </si>
  <si>
    <t>20250904T002525250</t>
  </si>
  <si>
    <t>20250904 00:25:25</t>
  </si>
  <si>
    <t>solution_{12-00-06}_{06-06}_02_decomposedNeighborhoodSearch_20250904T234722020</t>
  </si>
  <si>
    <t>20250904T234722020</t>
  </si>
  <si>
    <t>20250904 23:47:22</t>
  </si>
  <si>
    <t>solution_{12-00-06}_{06-06}_02_decomposedRandom_20250904T002509583</t>
  </si>
  <si>
    <t>solution_{12-00-06}_{06-06}_02_localRefinement_20250904T002525250</t>
  </si>
  <si>
    <t>solution_{12-00-06}_{06-06}_03_decomposedNeighborhoodSearch_20250904T234753495</t>
  </si>
  <si>
    <t>20250904T234753495</t>
  </si>
  <si>
    <t>20250904 23:47:53</t>
  </si>
  <si>
    <t>solution_{12-00-06}_{06-06}_03_decomposedRandom_20250904T012510656</t>
  </si>
  <si>
    <t>20250904T012510656</t>
  </si>
  <si>
    <t>20250904 01:25:10</t>
  </si>
  <si>
    <t>solution_{12-00-06}_{06-06}_03_localRefinement_20250904T012526475</t>
  </si>
  <si>
    <t>20250904T012526475</t>
  </si>
  <si>
    <t>20250904 01:25:26</t>
  </si>
  <si>
    <t>solution_{12-00-06}_{06-06}_04_decomposedNeighborhoodSearch_20250905T000422735</t>
  </si>
  <si>
    <t>20250905T000422735</t>
  </si>
  <si>
    <t>20250905 00:04:22</t>
  </si>
  <si>
    <t>solution_{12-00-06}_{06-06}_04_decomposedRandom_20250904T012510707</t>
  </si>
  <si>
    <t>20250904T012510707</t>
  </si>
  <si>
    <t>solution_{12-00-06}_{06-06}_04_localRefinement_20250904T012526857</t>
  </si>
  <si>
    <t>20250904T012526857</t>
  </si>
  <si>
    <t>solution_{12-00-06}_{06-06}_05_decomposedNeighborhoodSearch_20250905T003458823</t>
  </si>
  <si>
    <t>20250905T003458823</t>
  </si>
  <si>
    <t>20250905 00:34:58</t>
  </si>
  <si>
    <t>solution_{12-00-06}_{06-06}_05_decomposedRandom_20250904T022511003</t>
  </si>
  <si>
    <t>20250904T022511003</t>
  </si>
  <si>
    <t>20250904 02:25:11</t>
  </si>
  <si>
    <t>solution_{12-00-06}_{06-06}_05_localRefinement_20250904T022527768</t>
  </si>
  <si>
    <t>20250904T022527768</t>
  </si>
  <si>
    <t>20250904 02:25:27</t>
  </si>
  <si>
    <t>solution_{16-00-08}_{06-08}_01_decomposedNeighborhoodSearch_20250905T003459321</t>
  </si>
  <si>
    <t>16-00-08</t>
  </si>
  <si>
    <t>20250905T003459321</t>
  </si>
  <si>
    <t>20250905 00:34:59</t>
  </si>
  <si>
    <t>solution_{16-00-08}_{06-08}_01_decomposedRandom_20250904T022511515</t>
  </si>
  <si>
    <t>20250904T022511515</t>
  </si>
  <si>
    <t>solution_{16-00-08}_{06-08}_01_localRefinement_20250904T022527994</t>
  </si>
  <si>
    <t>20250904T022527994</t>
  </si>
  <si>
    <t>solution_{16-00-08}_{06-08}_02_decomposedNeighborhoodSearch_20250905T003459769</t>
  </si>
  <si>
    <t>20250905T003459769</t>
  </si>
  <si>
    <t>solution_{16-00-08}_{06-08}_02_decomposedRandom_20250904T032511377</t>
  </si>
  <si>
    <t>20250904T032511377</t>
  </si>
  <si>
    <t>20250904 03:25:11</t>
  </si>
  <si>
    <t>solution_{16-00-08}_{06-08}_02_localRefinement_20250904T032528903</t>
  </si>
  <si>
    <t>20250904T032528903</t>
  </si>
  <si>
    <t>20250904 03:25:28</t>
  </si>
  <si>
    <t>solution_{16-00-08}_{06-08}_03_decomposedNeighborhoodSearch_20250905T003712550</t>
  </si>
  <si>
    <t>20250905T003712550</t>
  </si>
  <si>
    <t>20250905 00:37:12</t>
  </si>
  <si>
    <t>solution_{16-00-08}_{06-08}_03_decomposedRandom_20250904T032511795</t>
  </si>
  <si>
    <t>20250904T032511795</t>
  </si>
  <si>
    <t>solution_{16-00-08}_{06-08}_03_localRefinement_20250904T032530084</t>
  </si>
  <si>
    <t>20250904T032530084</t>
  </si>
  <si>
    <t>20250904 03:25:30</t>
  </si>
  <si>
    <t>solution_{16-00-08}_{06-08}_04_decomposedNeighborhoodSearch_20250905T004629779</t>
  </si>
  <si>
    <t>20250905T004629779</t>
  </si>
  <si>
    <t>20250905 00:46:29</t>
  </si>
  <si>
    <t>solution_{16-00-08}_{06-08}_04_decomposedRandom_20250904T042511571</t>
  </si>
  <si>
    <t>20250904T042511571</t>
  </si>
  <si>
    <t>20250904 04:25:11</t>
  </si>
  <si>
    <t>solution_{16-00-08}_{06-08}_04_localRefinement_20250904T042531387</t>
  </si>
  <si>
    <t>20250904T042531387</t>
  </si>
  <si>
    <t>20250904 04:25:31</t>
  </si>
  <si>
    <t>solution_{16-00-08}_{06-08}_05_decomposedNeighborhoodSearch_20250905T004722186</t>
  </si>
  <si>
    <t>20250905T004722186</t>
  </si>
  <si>
    <t>20250905 00:47:22</t>
  </si>
  <si>
    <t>solution_{16-00-08}_{06-08}_05_decomposedRandom_20250904T042512168</t>
  </si>
  <si>
    <t>20250904T042512168</t>
  </si>
  <si>
    <t>20250904 04:25:12</t>
  </si>
  <si>
    <t>solution_{16-00-08}_{06-08}_05_localRefinement_20250904T042532056</t>
  </si>
  <si>
    <t>20250904T042532056</t>
  </si>
  <si>
    <t>20250904 04:25:32</t>
  </si>
  <si>
    <t>solution_{20-00-10}_{06-10}_01_decomposedNeighborhoodSearch_20250905T004754196</t>
  </si>
  <si>
    <t>20-00-10</t>
  </si>
  <si>
    <t>20250905T004754196</t>
  </si>
  <si>
    <t>20250905 00:47:54</t>
  </si>
  <si>
    <t>solution_{20-00-10}_{06-10}_01_decomposedRandom_20250904T052511916</t>
  </si>
  <si>
    <t>20250904T052511916</t>
  </si>
  <si>
    <t>20250904 05:25:11</t>
  </si>
  <si>
    <t>solution_{20-00-10}_{06-10}_01_localRefinement_20250904T052533320</t>
  </si>
  <si>
    <t>20250904T052533320</t>
  </si>
  <si>
    <t>20250904 05:25:33</t>
  </si>
  <si>
    <t>solution_{20-00-10}_{06-10}_02_decomposedNeighborhoodSearch_20250905T010423678</t>
  </si>
  <si>
    <t>20250905T010423678</t>
  </si>
  <si>
    <t>20250905 01:04:23</t>
  </si>
  <si>
    <t>solution_{20-00-10}_{06-10}_02_decomposedRandom_20250904T052513188</t>
  </si>
  <si>
    <t>20250904T052513188</t>
  </si>
  <si>
    <t>20250904 05:25:13</t>
  </si>
  <si>
    <t>solution_{20-00-10}_{06-10}_02_localRefinement_20250904T052534320</t>
  </si>
  <si>
    <t>20250904T052534320</t>
  </si>
  <si>
    <t>20250904 05:25:34</t>
  </si>
  <si>
    <t>solution_{20-00-10}_{06-10}_03_decomposedNeighborhoodSearch_20250905T013459018</t>
  </si>
  <si>
    <t>20250905T013459018</t>
  </si>
  <si>
    <t>20250905 01:34:59</t>
  </si>
  <si>
    <t>solution_{20-00-10}_{06-10}_03_decomposedRandom_20250904T062512574</t>
  </si>
  <si>
    <t>20250904T062512574</t>
  </si>
  <si>
    <t>20250904 06:25:12</t>
  </si>
  <si>
    <t>solution_{20-00-10}_{06-10}_03_localRefinement_20250904T062537000</t>
  </si>
  <si>
    <t>20250904T062537000</t>
  </si>
  <si>
    <t>20250904 06:25:37</t>
  </si>
  <si>
    <t>solution_{20-00-10}_{06-10}_04_decomposedNeighborhoodSearch_20250905T013459414</t>
  </si>
  <si>
    <t>20250905T013459414</t>
  </si>
  <si>
    <t>solution_{20-00-10}_{06-10}_04_decomposedRandom_20250904T062513861</t>
  </si>
  <si>
    <t>20250904T062513861</t>
  </si>
  <si>
    <t>20250904 06:25:13</t>
  </si>
  <si>
    <t>solution_{20-00-10}_{06-10}_04_localRefinement_20250904T062537984</t>
  </si>
  <si>
    <t>20250904T062537984</t>
  </si>
  <si>
    <t>solution_{20-00-10}_{06-10}_05_decomposedNeighborhoodSearch_20250905T013459920</t>
  </si>
  <si>
    <t>20250905T013459920</t>
  </si>
  <si>
    <t>solution_{20-00-10}_{06-10}_05_decomposedRandom_20250904T072512810</t>
  </si>
  <si>
    <t>20250904T072512810</t>
  </si>
  <si>
    <t>20250904 07:25:12</t>
  </si>
  <si>
    <t>solution_{20-00-10}_{06-10}_05_localRefinement_20250904T072540368</t>
  </si>
  <si>
    <t>20250904T072540368</t>
  </si>
  <si>
    <t>20250904 07:25:40</t>
  </si>
  <si>
    <t>LB:cplex log</t>
    <phoneticPr fontId="2" type="noConversion"/>
  </si>
  <si>
    <t>LB: calc by gap</t>
    <phoneticPr fontId="2" type="noConversion"/>
  </si>
  <si>
    <t>check</t>
    <phoneticPr fontId="2" type="noConversion"/>
  </si>
  <si>
    <t>求和项:obj</t>
  </si>
  <si>
    <t>v.s. FCFS</t>
    <phoneticPr fontId="2" type="noConversion"/>
  </si>
  <si>
    <t>config_{12-00-06}_{06-06}_01_decomposedNeighborhoodSearch_20250904T234629100.log</t>
  </si>
  <si>
    <t>{12-00-06}_{06-06}_01</t>
  </si>
  <si>
    <t>config_{12-00-06}_{06-06}_01_decomposedRandom_20250904T002509583.log</t>
  </si>
  <si>
    <t>config_{12-00-06}_{06-06}_01_localRefinement_20250904T002525250.log</t>
  </si>
  <si>
    <t>config_{12-00-06}_{06-06}_02_decomposedNeighborhoodSearch_20250904T234722020.log</t>
  </si>
  <si>
    <t>{12-00-06}_{06-06}_02</t>
  </si>
  <si>
    <t>config_{12-00-06}_{06-06}_02_decomposedRandom_20250904T002509583.log</t>
  </si>
  <si>
    <t>config_{12-00-06}_{06-06}_02_localRefinement_20250904T002525250.log</t>
  </si>
  <si>
    <t>config_{12-00-06}_{06-06}_03_decomposedNeighborhoodSearch_20250904T234753495.log</t>
  </si>
  <si>
    <t>{12-00-06}_{06-06}_03</t>
  </si>
  <si>
    <t>config_{12-00-06}_{06-06}_03_decomposedRandom_20250904T012510656.log</t>
  </si>
  <si>
    <t>config_{12-00-06}_{06-06}_03_localRefinement_20250904T012526475.log</t>
  </si>
  <si>
    <t>config_{12-00-06}_{06-06}_04_decomposedNeighborhoodSearch_20250905T000422735.log</t>
  </si>
  <si>
    <t>{12-00-06}_{06-06}_04</t>
  </si>
  <si>
    <t>config_{12-00-06}_{06-06}_04_decomposedRandom_20250904T012510707.log</t>
  </si>
  <si>
    <t>config_{12-00-06}_{06-06}_04_localRefinement_20250904T012526857.log</t>
  </si>
  <si>
    <t>config_{12-00-06}_{06-06}_05_decomposedNeighborhoodSearch_20250905T003458823.log</t>
  </si>
  <si>
    <t>{12-00-06}_{06-06}_05</t>
  </si>
  <si>
    <t>config_{12-00-06}_{06-06}_05_decomposedRandom_20250904T022511003.log</t>
  </si>
  <si>
    <t>config_{12-00-06}_{06-06}_05_localRefinement_20250904T022527768.log</t>
  </si>
  <si>
    <t>config_{16-00-08}_{06-08}_01_decomposedNeighborhoodSearch_20250905T003459321.log</t>
  </si>
  <si>
    <t>{16-00-08}_{06-08}_01</t>
  </si>
  <si>
    <t>config_{16-00-08}_{06-08}_01_decomposedRandom_20250904T022511515.log</t>
  </si>
  <si>
    <t>config_{16-00-08}_{06-08}_01_localRefinement_20250904T022527994.log</t>
  </si>
  <si>
    <t>config_{16-00-08}_{06-08}_02_decomposedNeighborhoodSearch_20250905T003459769.log</t>
  </si>
  <si>
    <t>{16-00-08}_{06-08}_02</t>
  </si>
  <si>
    <t>config_{16-00-08}_{06-08}_02_decomposedRandom_20250904T032511377.log</t>
  </si>
  <si>
    <t>config_{16-00-08}_{06-08}_02_localRefinement_20250904T032528903.log</t>
  </si>
  <si>
    <t>config_{16-00-08}_{06-08}_03_decomposedNeighborhoodSearch_20250905T003712550.log</t>
  </si>
  <si>
    <t>{16-00-08}_{06-08}_03</t>
  </si>
  <si>
    <t>config_{16-00-08}_{06-08}_03_decomposedRandom_20250904T032511795.log</t>
  </si>
  <si>
    <t>config_{16-00-08}_{06-08}_03_localRefinement_20250904T032530084.log</t>
  </si>
  <si>
    <t>config_{16-00-08}_{06-08}_04_decomposedNeighborhoodSearch_20250905T004629779.log</t>
  </si>
  <si>
    <t>{16-00-08}_{06-08}_04</t>
  </si>
  <si>
    <t>config_{16-00-08}_{06-08}_04_decomposedRandom_20250904T042511571.log</t>
  </si>
  <si>
    <t>config_{16-00-08}_{06-08}_04_localRefinement_20250904T042531387.log</t>
  </si>
  <si>
    <t>config_{16-00-08}_{06-08}_05_decomposedNeighborhoodSearch_20250905T004722186.log</t>
  </si>
  <si>
    <t>{16-00-08}_{06-08}_05</t>
  </si>
  <si>
    <t>config_{16-00-08}_{06-08}_05_decomposedRandom_20250904T042512168.log</t>
  </si>
  <si>
    <t>config_{16-00-08}_{06-08}_05_localRefinement_20250904T042532056.log</t>
  </si>
  <si>
    <t>config_{20-00-10}_{06-10}_01_decomposedNeighborhoodSearch_20250905T004754196.log</t>
  </si>
  <si>
    <t>{20-00-10}_{06-10}_01</t>
  </si>
  <si>
    <t>config_{20-00-10}_{06-10}_01_decomposedRandom_20250904T052511916.log</t>
  </si>
  <si>
    <t>config_{20-00-10}_{06-10}_01_localRefinement_20250904T052533320.log</t>
  </si>
  <si>
    <t>config_{20-00-10}_{06-10}_02_decomposedNeighborhoodSearch_20250905T010423678.log</t>
  </si>
  <si>
    <t>{20-00-10}_{06-10}_02</t>
  </si>
  <si>
    <t>config_{20-00-10}_{06-10}_02_decomposedRandom_20250904T052513188.log</t>
  </si>
  <si>
    <t>config_{20-00-10}_{06-10}_02_localRefinement_20250904T052534320.log</t>
  </si>
  <si>
    <t>config_{20-00-10}_{06-10}_03_decomposedNeighborhoodSearch_20250905T013459018.log</t>
  </si>
  <si>
    <t>{20-00-10}_{06-10}_03</t>
  </si>
  <si>
    <t>config_{20-00-10}_{06-10}_03_decomposedRandom_20250904T062512574.log</t>
  </si>
  <si>
    <t>config_{20-00-10}_{06-10}_03_localRefinement_20250904T062537000.log</t>
  </si>
  <si>
    <t>config_{20-00-10}_{06-10}_04_decomposedNeighborhoodSearch_20250905T013459414.log</t>
  </si>
  <si>
    <t>{20-00-10}_{06-10}_04</t>
  </si>
  <si>
    <t>config_{20-00-10}_{06-10}_04_decomposedRandom_20250904T062513861.log</t>
  </si>
  <si>
    <t>config_{20-00-10}_{06-10}_04_localRefinement_20250904T062537984.log</t>
  </si>
  <si>
    <t>config_{20-00-10}_{06-10}_05_decomposedNeighborhoodSearch_20250905T013459920.log</t>
  </si>
  <si>
    <t>{20-00-10}_{06-10}_05</t>
  </si>
  <si>
    <t>config_{20-00-10}_{06-10}_05_decomposedRandom_20250904T072512810.log</t>
  </si>
  <si>
    <t>config_{20-00-10}_{06-10}_05_localRefinement_20250904T072540368.log</t>
  </si>
  <si>
    <t>-</t>
    <phoneticPr fontId="2" type="noConversion"/>
  </si>
  <si>
    <t>calc gap by logLB</t>
    <phoneticPr fontId="2" type="noConversion"/>
  </si>
  <si>
    <t>2 types</t>
    <phoneticPr fontId="2" type="noConversion"/>
  </si>
  <si>
    <t>3 types</t>
    <phoneticPr fontId="2" type="noConversion"/>
  </si>
  <si>
    <t>v.s. TSA</t>
    <phoneticPr fontId="2" type="noConversion"/>
  </si>
  <si>
    <t>LB by CPLEX</t>
    <phoneticPr fontId="2" type="noConversion"/>
  </si>
  <si>
    <t>LB</t>
    <phoneticPr fontId="2" type="noConversion"/>
  </si>
  <si>
    <t>gap: API</t>
    <phoneticPr fontId="2" type="noConversion"/>
  </si>
  <si>
    <t>Gap</t>
    <phoneticPr fontId="2" type="noConversion"/>
  </si>
  <si>
    <t>LB</t>
  </si>
  <si>
    <t>Instance</t>
  </si>
  <si>
    <t>3-20-1</t>
  </si>
  <si>
    <t>3-20-2</t>
  </si>
  <si>
    <t>3-20-3</t>
  </si>
  <si>
    <t>3-20-4</t>
  </si>
  <si>
    <t>3-20-5</t>
  </si>
  <si>
    <t>6-40-1</t>
  </si>
  <si>
    <t>6-40-2</t>
  </si>
  <si>
    <t>6-40-3</t>
  </si>
  <si>
    <t>6-40-4</t>
  </si>
  <si>
    <t>6-40-5</t>
  </si>
  <si>
    <t>9-60-1</t>
  </si>
  <si>
    <t>9-60-2</t>
  </si>
  <si>
    <t>9-60-3</t>
  </si>
  <si>
    <t>9-60-4</t>
  </si>
  <si>
    <t>9-60-5</t>
  </si>
  <si>
    <t>12-80-1</t>
  </si>
  <si>
    <t>12-80-2</t>
  </si>
  <si>
    <t>12-80-3</t>
  </si>
  <si>
    <t>12-80-4</t>
  </si>
  <si>
    <t>12-80-5</t>
  </si>
  <si>
    <t>15-100-1</t>
  </si>
  <si>
    <t>15-100-2</t>
  </si>
  <si>
    <t>15-100-3</t>
  </si>
  <si>
    <t>15-100-4</t>
  </si>
  <si>
    <t>15-100-5</t>
  </si>
  <si>
    <t>18-120-1</t>
  </si>
  <si>
    <t>18-120-2</t>
  </si>
  <si>
    <t>18-120-3</t>
  </si>
  <si>
    <t>18-120-4</t>
  </si>
  <si>
    <t>18-120-5</t>
  </si>
  <si>
    <t>24-160-1</t>
  </si>
  <si>
    <t>24-160-2</t>
  </si>
  <si>
    <t>24-160-3</t>
  </si>
  <si>
    <t>24-160-4</t>
  </si>
  <si>
    <t>24-160-5</t>
  </si>
  <si>
    <t>30-200-1</t>
  </si>
  <si>
    <t>30-200-2</t>
  </si>
  <si>
    <t>30-200-3</t>
  </si>
  <si>
    <t>30-200-4</t>
  </si>
  <si>
    <t>30-200-5</t>
  </si>
  <si>
    <t>Improve v.s FCFS</t>
    <phoneticPr fontId="2" type="noConversion"/>
  </si>
  <si>
    <t>CPLEX</t>
  </si>
  <si>
    <t>imp. vs FCFS</t>
    <phoneticPr fontId="2" type="noConversion"/>
  </si>
  <si>
    <t>CSNS</t>
  </si>
  <si>
    <t>TSA</t>
  </si>
  <si>
    <t>Imp. of CETSA</t>
    <phoneticPr fontId="2" type="noConversion"/>
  </si>
  <si>
    <t>vs CSNS</t>
    <phoneticPr fontId="2" type="noConversion"/>
  </si>
  <si>
    <t>vs TSA</t>
    <phoneticPr fontId="2" type="noConversion"/>
  </si>
  <si>
    <t>CPLEX/FCFS</t>
    <phoneticPr fontId="2" type="noConversion"/>
  </si>
  <si>
    <t>solution_{14-00-07}_{06-07}_01_decomposedNeighborhoodSearch_20251018T123557830</t>
  </si>
  <si>
    <t>14-00-07</t>
  </si>
  <si>
    <t>06-07</t>
  </si>
  <si>
    <t>20251018T123557830</t>
  </si>
  <si>
    <t>20251018 12:35:57</t>
  </si>
  <si>
    <t>solution_{14-00-07}_{06-07}_01_decomposedRandom_20251018T123823522</t>
  </si>
  <si>
    <t>20251018T123823522</t>
  </si>
  <si>
    <t>20251018 12:38:23</t>
  </si>
  <si>
    <t>solution_{14-00-07}_{06-07}_01_localRefinement_20251018T155117454</t>
  </si>
  <si>
    <t>20251018T155117454</t>
  </si>
  <si>
    <t>20251018 15:51:17</t>
  </si>
  <si>
    <t>solution_{14-00-07}_{06-07}_02_decomposedNeighborhoodSearch_20251018T123557830</t>
  </si>
  <si>
    <t>solution_{14-00-07}_{06-07}_02_decomposedRandom_20251018T123823522</t>
  </si>
  <si>
    <t>solution_{14-00-07}_{06-07}_02_localRefinement_20251018T155117454</t>
  </si>
  <si>
    <t>solution_{14-00-07}_{06-07}_03_decomposedNeighborhoodSearch_20251018T123557830</t>
  </si>
  <si>
    <t>solution_{14-00-07}_{06-07}_03_decomposedRandom_20251018T123823523</t>
  </si>
  <si>
    <t>20251018T123823523</t>
  </si>
  <si>
    <t>solution_{14-00-07}_{06-07}_03_localRefinement_20251018T165118945</t>
  </si>
  <si>
    <t>20251018T165118945</t>
  </si>
  <si>
    <t>20251018 16:51:18</t>
  </si>
  <si>
    <t>solution_{14-00-07}_{06-07}_04_decomposedNeighborhoodSearch_20251018T123557830</t>
  </si>
  <si>
    <t>solution_{14-00-07}_{06-07}_04_decomposedRandom_20251018T123823522</t>
  </si>
  <si>
    <t>solution_{14-00-07}_{06-07}_04_localRefinement_20251018T165119280</t>
  </si>
  <si>
    <t>20251018T165119280</t>
  </si>
  <si>
    <t>20251018 16:51:19</t>
  </si>
  <si>
    <t>solution_{14-00-07}_{06-07}_05_decomposedNeighborhoodSearch_20251018T123557830</t>
  </si>
  <si>
    <t>solution_{14-00-07}_{06-07}_05_decomposedRandom_20251018T133824091</t>
  </si>
  <si>
    <t>20251018T133824091</t>
  </si>
  <si>
    <t>20251018 13:38:24</t>
  </si>
  <si>
    <t>solution_{14-00-07}_{06-07}_05_localRefinement_20251018T175120499</t>
  </si>
  <si>
    <t>20251018T175120499</t>
  </si>
  <si>
    <t>20251018 17:51:20</t>
  </si>
  <si>
    <t>solution_{18-00-09}_{06-09}_01_decomposedNeighborhoodSearch_20251018T133558202</t>
  </si>
  <si>
    <t>18-00-09</t>
  </si>
  <si>
    <t>06-09</t>
  </si>
  <si>
    <t>20251018T133558202</t>
  </si>
  <si>
    <t>20251018 13:35:58</t>
  </si>
  <si>
    <t>solution_{18-00-09}_{06-09}_01_decomposedRandom_20251018T133824754</t>
  </si>
  <si>
    <t>20251018T133824754</t>
  </si>
  <si>
    <t>solution_{18-00-09}_{06-09}_01_localRefinement_20251018T175120749</t>
  </si>
  <si>
    <t>20251018T175120749</t>
  </si>
  <si>
    <t>solution_{18-00-09}_{06-09}_02_decomposedNeighborhoodSearch_20251018T133558374</t>
  </si>
  <si>
    <t>20251018T133558374</t>
  </si>
  <si>
    <t>solution_{18-00-09}_{06-09}_02_decomposedRandom_20251018T133824800</t>
  </si>
  <si>
    <t>20251018T133824800</t>
  </si>
  <si>
    <t>solution_{18-00-09}_{06-09}_02_localRefinement_20251018T185121900</t>
  </si>
  <si>
    <t>20251018T185121900</t>
  </si>
  <si>
    <t>20251018 18:51:21</t>
  </si>
  <si>
    <t>solution_{18-00-09}_{06-09}_03_decomposedNeighborhoodSearch_20251018T133558421</t>
  </si>
  <si>
    <t>20251018T133558421</t>
  </si>
  <si>
    <t>solution_{18-00-09}_{06-09}_03_decomposedRandom_20251018T133824803</t>
  </si>
  <si>
    <t>20251018T133824803</t>
  </si>
  <si>
    <t>solution_{18-00-09}_{06-09}_03_localRefinement_20251018T185123476</t>
  </si>
  <si>
    <t>20251018T185123476</t>
  </si>
  <si>
    <t>20251018 18:51:23</t>
  </si>
  <si>
    <t>solution_{18-00-09}_{06-09}_04_decomposedNeighborhoodSearch_20251018T133558459</t>
  </si>
  <si>
    <t>20251018T133558459</t>
  </si>
  <si>
    <t>solution_{18-00-09}_{06-09}_04_decomposedRandom_20251018T143824339</t>
  </si>
  <si>
    <t>20251018T143824339</t>
  </si>
  <si>
    <t>20251018 14:38:24</t>
  </si>
  <si>
    <t>solution_{18-00-09}_{06-09}_04_localRefinement_20251018T195124707</t>
  </si>
  <si>
    <t>20251018T195124707</t>
  </si>
  <si>
    <t>20251018 19:51:24</t>
  </si>
  <si>
    <t>solution_{18-00-09}_{06-09}_05_decomposedNeighborhoodSearch_20251018T133558629</t>
  </si>
  <si>
    <t>20251018T133558629</t>
  </si>
  <si>
    <t>solution_{18-00-09}_{06-09}_05_decomposedRandom_20251018T143825141</t>
  </si>
  <si>
    <t>20251018T143825141</t>
  </si>
  <si>
    <t>20251018 14:38:25</t>
  </si>
  <si>
    <t>solution_{18-00-09}_{06-09}_05_localRefinement_20251018T195126155</t>
  </si>
  <si>
    <t>20251018T195126155</t>
  </si>
  <si>
    <t>20251018 19:51:26</t>
  </si>
  <si>
    <t>config_{14-00-07}_{06-07}_01_decomposedNeighborhoodSearch_20251018T123557830.log</t>
  </si>
  <si>
    <t>{14-00-07}_{06-07}_01</t>
  </si>
  <si>
    <t>config_{14-00-07}_{06-07}_01_decomposedRandom_20251018T123823522.log</t>
  </si>
  <si>
    <t>config_{14-00-07}_{06-07}_01_localRefinement_20251018T155117454.log</t>
  </si>
  <si>
    <t>config_{14-00-07}_{06-07}_02_decomposedNeighborhoodSearch_20251018T123557830.log</t>
  </si>
  <si>
    <t>{14-00-07}_{06-07}_02</t>
  </si>
  <si>
    <t>config_{14-00-07}_{06-07}_02_decomposedRandom_20251018T123823522.log</t>
  </si>
  <si>
    <t>config_{14-00-07}_{06-07}_02_localRefinement_20251018T155117454.log</t>
  </si>
  <si>
    <t>config_{14-00-07}_{06-07}_03_decomposedNeighborhoodSearch_20251018T123557830.log</t>
  </si>
  <si>
    <t>{14-00-07}_{06-07}_03</t>
  </si>
  <si>
    <t>config_{14-00-07}_{06-07}_03_decomposedRandom_20251018T123823523.log</t>
  </si>
  <si>
    <t>config_{14-00-07}_{06-07}_03_localRefinement_20251018T165118945.log</t>
  </si>
  <si>
    <t>config_{14-00-07}_{06-07}_04_decomposedNeighborhoodSearch_20251018T123557830.log</t>
  </si>
  <si>
    <t>{14-00-07}_{06-07}_04</t>
  </si>
  <si>
    <t>config_{14-00-07}_{06-07}_04_decomposedRandom_20251018T123823522.log</t>
  </si>
  <si>
    <t>config_{14-00-07}_{06-07}_04_localRefinement_20251018T165119280.log</t>
  </si>
  <si>
    <t>config_{14-00-07}_{06-07}_05_decomposedNeighborhoodSearch_20251018T123557830.log</t>
  </si>
  <si>
    <t>{14-00-07}_{06-07}_05</t>
  </si>
  <si>
    <t>config_{14-00-07}_{06-07}_05_decomposedRandom_20251018T133824091.log</t>
  </si>
  <si>
    <t>config_{14-00-07}_{06-07}_05_localRefinement_20251018T175120499.log</t>
  </si>
  <si>
    <t>config_{18-00-09}_{06-09}_01_decomposedNeighborhoodSearch_20251018T133558202.log</t>
  </si>
  <si>
    <t>{18-00-09}_{06-09}_01</t>
  </si>
  <si>
    <t>config_{18-00-09}_{06-09}_01_decomposedRandom_20251018T133824754.log</t>
  </si>
  <si>
    <t>config_{18-00-09}_{06-09}_01_localRefinement_20251018T175120749.log</t>
  </si>
  <si>
    <t>config_{18-00-09}_{06-09}_02_decomposedNeighborhoodSearch_20251018T133558374.log</t>
  </si>
  <si>
    <t>{18-00-09}_{06-09}_02</t>
  </si>
  <si>
    <t>config_{18-00-09}_{06-09}_02_decomposedRandom_20251018T133824800.log</t>
  </si>
  <si>
    <t>config_{18-00-09}_{06-09}_02_localRefinement_20251018T185121900.log</t>
  </si>
  <si>
    <t>config_{18-00-09}_{06-09}_03_decomposedNeighborhoodSearch_20251018T133558421.log</t>
  </si>
  <si>
    <t>{18-00-09}_{06-09}_03</t>
  </si>
  <si>
    <t>config_{18-00-09}_{06-09}_03_decomposedRandom_20251018T133824803.log</t>
  </si>
  <si>
    <t>config_{18-00-09}_{06-09}_03_localRefinement_20251018T185123476.log</t>
  </si>
  <si>
    <t>config_{18-00-09}_{06-09}_04_decomposedNeighborhoodSearch_20251018T133558459.log</t>
  </si>
  <si>
    <t>{18-00-09}_{06-09}_04</t>
  </si>
  <si>
    <t>config_{18-00-09}_{06-09}_04_decomposedRandom_20251018T143824339.log</t>
  </si>
  <si>
    <t>config_{18-00-09}_{06-09}_04_localRefinement_20251018T195124707.log</t>
  </si>
  <si>
    <t>config_{18-00-09}_{06-09}_05_decomposedNeighborhoodSearch_20251018T133558629.log</t>
  </si>
  <si>
    <t>{18-00-09}_{06-09}_05</t>
  </si>
  <si>
    <t>config_{18-00-09}_{06-09}_05_decomposedRandom_20251018T143825141.log</t>
  </si>
  <si>
    <t>config_{18-00-09}_{06-09}_05_localRefinement_20251018T195126155.log</t>
  </si>
  <si>
    <t>21 vessels,140 subblocks</t>
    <phoneticPr fontId="2" type="noConversion"/>
  </si>
  <si>
    <t>21-140-1</t>
  </si>
  <si>
    <t>21-140-1</t>
    <phoneticPr fontId="2" type="noConversion"/>
  </si>
  <si>
    <t>21-140-2</t>
  </si>
  <si>
    <t>21-140-3</t>
  </si>
  <si>
    <t>21-140-4</t>
  </si>
  <si>
    <t>21-140-5</t>
  </si>
  <si>
    <t>27-180-1</t>
  </si>
  <si>
    <t>27-180-1</t>
    <phoneticPr fontId="2" type="noConversion"/>
  </si>
  <si>
    <t>27-180-2</t>
  </si>
  <si>
    <t>27-180-3</t>
  </si>
  <si>
    <t>27-180-4</t>
  </si>
  <si>
    <t>27-180-5</t>
  </si>
  <si>
    <t>27 vessels,180 subblocks</t>
    <phoneticPr fontId="2" type="noConversion"/>
  </si>
  <si>
    <t>LB by CPLEX</t>
  </si>
  <si>
    <t>min(before)</t>
    <phoneticPr fontId="2" type="noConversion"/>
  </si>
  <si>
    <t>Imp.</t>
    <phoneticPr fontId="2" type="noConversion"/>
  </si>
  <si>
    <t>7:10:14=2:0:1</t>
    <phoneticPr fontId="2" type="noConversion"/>
  </si>
  <si>
    <t>7:10:14=4:1:1</t>
    <phoneticPr fontId="2" type="noConversion"/>
  </si>
  <si>
    <t>求和项:objTime</t>
  </si>
  <si>
    <t>求和项:objRoute</t>
  </si>
  <si>
    <t>求和项:objCongestion</t>
  </si>
  <si>
    <t>计数项:obj</t>
  </si>
  <si>
    <t>3-20-1</t>
    <phoneticPr fontId="2" type="noConversion"/>
  </si>
  <si>
    <t>simple</t>
    <phoneticPr fontId="2" type="noConversion"/>
  </si>
  <si>
    <t>hard</t>
    <phoneticPr fontId="2" type="noConversion"/>
  </si>
  <si>
    <t>CPLEX/FCFS</t>
  </si>
  <si>
    <t>instance type</t>
  </si>
  <si>
    <t>instance type</t>
    <phoneticPr fontId="2" type="noConversion"/>
  </si>
  <si>
    <t>Instance id</t>
    <phoneticPr fontId="2" type="noConversion"/>
  </si>
  <si>
    <t>vessels</t>
  </si>
  <si>
    <t>vessels</t>
    <phoneticPr fontId="2" type="noConversion"/>
  </si>
  <si>
    <t>subblocks</t>
    <phoneticPr fontId="2" type="noConversion"/>
  </si>
  <si>
    <t>seed</t>
    <phoneticPr fontId="2" type="noConversion"/>
  </si>
  <si>
    <t>hard</t>
  </si>
  <si>
    <t>simple</t>
  </si>
  <si>
    <t>平均值项:TSA</t>
  </si>
  <si>
    <t>平均值项:LB</t>
  </si>
  <si>
    <t>平均值项:CPLEX</t>
  </si>
  <si>
    <t>平均值项:FCFS</t>
  </si>
  <si>
    <t>平均值项:CETSA</t>
  </si>
  <si>
    <t>平均值项:CSNS</t>
  </si>
  <si>
    <t>group</t>
    <phoneticPr fontId="2" type="noConversion"/>
  </si>
  <si>
    <t>3-20</t>
    <phoneticPr fontId="2" type="noConversion"/>
  </si>
  <si>
    <t>6-40</t>
    <phoneticPr fontId="2" type="noConversion"/>
  </si>
  <si>
    <t>9-60</t>
    <phoneticPr fontId="2" type="noConversion"/>
  </si>
  <si>
    <t>12-80</t>
    <phoneticPr fontId="2" type="noConversion"/>
  </si>
  <si>
    <t>15-100</t>
    <phoneticPr fontId="2" type="noConversion"/>
  </si>
  <si>
    <t>18-120</t>
    <phoneticPr fontId="2" type="noConversion"/>
  </si>
  <si>
    <t>21-140</t>
    <phoneticPr fontId="2" type="noConversion"/>
  </si>
  <si>
    <t>24-160</t>
    <phoneticPr fontId="2" type="noConversion"/>
  </si>
  <si>
    <t>27-180</t>
    <phoneticPr fontId="2" type="noConversion"/>
  </si>
  <si>
    <t>30-200</t>
    <phoneticPr fontId="2" type="noConversion"/>
  </si>
  <si>
    <t>IG1</t>
    <phoneticPr fontId="2" type="noConversion"/>
  </si>
  <si>
    <t>IG2</t>
    <phoneticPr fontId="2" type="noConversion"/>
  </si>
  <si>
    <t>scale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</si>
</sst>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76" fontId="3" fillId="0" borderId="0" xfId="0" applyNumberFormat="1" applyFont="1"/>
    <xf numFmtId="176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Alignment="1"/>
    <xf numFmtId="0" fontId="0" fillId="0" borderId="0" xfId="1" applyNumberFormat="1" applyFont="1" applyAlignment="1">
      <alignment horizontal="center"/>
    </xf>
    <xf numFmtId="2" fontId="0" fillId="0" borderId="0" xfId="1" applyNumberFormat="1" applyFont="1" applyAlignment="1"/>
    <xf numFmtId="2" fontId="3" fillId="0" borderId="0" xfId="0" applyNumberFormat="1" applyFont="1"/>
    <xf numFmtId="2" fontId="0" fillId="0" borderId="0" xfId="0" applyNumberFormat="1"/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/>
    <xf numFmtId="2" fontId="4" fillId="0" borderId="0" xfId="0" applyNumberFormat="1" applyFont="1"/>
    <xf numFmtId="10" fontId="4" fillId="0" borderId="0" xfId="0" applyNumberFormat="1" applyFont="1"/>
    <xf numFmtId="0" fontId="0" fillId="0" borderId="0" xfId="0" applyAlignment="1">
      <alignment horizontal="center"/>
    </xf>
    <xf numFmtId="17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百分比" xfId="1" builtinId="5"/>
    <cellStyle name="常规" xfId="0" builtinId="0"/>
  </cellStyles>
  <dxfs count="2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yu" refreshedDate="45949.598910069442" createdVersion="7" refreshedVersion="7" minRefreshableVersion="3" recordCount="633" xr:uid="{08CCDC37-5CE8-4D4E-964B-C51667C58888}">
  <cacheSource type="worksheet">
    <worksheetSource name="summary"/>
  </cacheSource>
  <cacheFields count="14">
    <cacheField name="instance" numFmtId="0">
      <sharedItems count="633">
        <s v="solution_{02-00-01}_{06-01}_01_decomposedNeighborhoodSearch_20250709T174527104"/>
        <s v="solution_{02-00-01}_{06-01}_02_decomposedNeighborhoodSearch_20250709T174527104"/>
        <s v="solution_{02-00-01}_{06-01}_03_decomposedNeighborhoodSearch_20250709T174527104"/>
        <s v="solution_{02-00-01}_{06-01}_04_decomposedNeighborhoodSearch_20250709T174527104"/>
        <s v="solution_{02-00-01}_{06-01}_05_decomposedNeighborhoodSearch_20250709T174527104"/>
        <s v="solution_{04-00-02}_{06-02}_01_decomposedNeighborhoodSearch_20250709T174527104"/>
        <s v="solution_{04-00-02}_{06-02}_02_decomposedNeighborhoodSearch_20250709T174527104"/>
        <s v="solution_{04-00-02}_{06-02}_03_decomposedNeighborhoodSearch_20250709T174527104"/>
        <s v="solution_{04-00-02}_{06-02}_04_decomposedNeighborhoodSearch_20250709T174527104"/>
        <s v="solution_{04-00-02}_{06-02}_05_decomposedNeighborhoodSearch_20250709T174527104"/>
        <s v="solution_{06-00-03}_{06-03}_01_decomposedNeighborhoodSearch_20250709T174527104"/>
        <s v="solution_{06-00-03}_{06-03}_02_decomposedNeighborhoodSearch_20250709T174527104"/>
        <s v="solution_{06-00-03}_{06-03}_03_decomposedNeighborhoodSearch_20250709T174527104"/>
        <s v="solution_{06-00-03}_{06-03}_04_decomposedNeighborhoodSearch_20250709T174527104"/>
        <s v="solution_{06-00-03}_{06-03}_05_decomposedNeighborhoodSearch_20250709T174527104"/>
        <s v="solution_{08-00-04}_{06-04}_01_decomposedNeighborhoodSearch_20250709T174527104"/>
        <s v="solution_{08-00-04}_{06-04}_02_decomposedNeighborhoodSearch_20250709T174527104"/>
        <s v="solution_{08-00-04}_{06-04}_03_decomposedNeighborhoodSearch_20250709T174527104"/>
        <s v="solution_{08-00-04}_{06-04}_04_decomposedNeighborhoodSearch_20250709T174527104"/>
        <s v="solution_{08-00-04}_{06-04}_05_decomposedNeighborhoodSearch_20250709T174948716"/>
        <s v="solution_{10-00-05}_{06-05}_01_decomposedNeighborhoodSearch_20250709T175032776"/>
        <s v="solution_{10-00-05}_{06-05}_02_decomposedNeighborhoodSearch_20250709T175105176"/>
        <s v="solution_{10-00-05}_{06-05}_03_decomposedNeighborhoodSearch_20250709T175935921"/>
        <s v="solution_{10-00-05}_{06-05}_04_decomposedNeighborhoodSearch_20250709T181019707"/>
        <s v="solution_{10-00-05}_{06-05}_05_decomposedNeighborhoodSearch_20250709T184527564"/>
        <s v="solution_{02-00-01}_{06-01}_01_cplexIntegrated_20250709T185734723"/>
        <s v="solution_{02-00-01}_{06-01}_02_cplexIntegrated_20250709T185734723"/>
        <s v="solution_{02-00-01}_{06-01}_03_cplexIntegrated_20250709T185734723"/>
        <s v="solution_{02-00-01}_{06-01}_04_cplexIntegrated_20250709T185734723"/>
        <s v="solution_{02-00-01}_{06-01}_05_cplexIntegrated_20250709T185734723"/>
        <s v="solution_{04-00-02}_{06-02}_01_cplexIntegrated_20250709T185734723"/>
        <s v="solution_{04-00-02}_{06-02}_03_cplexIntegrated_20250709T185734723"/>
        <s v="solution_{04-00-02}_{06-02}_04_cplexIntegrated_20250709T185734723"/>
        <s v="solution_{04-00-02}_{06-02}_05_cplexIntegrated_20250709T185734723"/>
        <s v="solution_{06-00-03}_{06-03}_01_cplexIntegrated_20250709T185734723"/>
        <s v="solution_{06-00-03}_{06-03}_02_cplexIntegrated_20250709T185734723"/>
        <s v="solution_{06-00-03}_{06-03}_03_cplexIntegrated_20250709T185734723"/>
        <s v="solution_{06-00-03}_{06-03}_04_cplexIntegrated_20250709T185734723"/>
        <s v="solution_{06-00-03}_{06-03}_05_cplexIntegrated_20250709T185734723"/>
        <s v="solution_{08-00-04}_{06-04}_01_cplexIntegrated_20250709T185734723"/>
        <s v="solution_{08-00-04}_{06-04}_02_cplexIntegrated_20250709T185734723"/>
        <s v="solution_{08-00-04}_{06-04}_03_cplexIntegrated_20250709T185734723"/>
        <s v="solution_{08-00-04}_{06-04}_04_cplexIntegrated_20250709T185734723"/>
        <s v="solution_{04-00-02}_{06-02}_02_cplexIntegrated_20250709T185734724"/>
        <s v="solution_{08-00-04}_{06-04}_05_cplexIntegrated_20250709T185736559"/>
        <s v="solution_{10-00-05}_{06-05}_01_cplexIntegrated_20250709T185738228"/>
        <s v="solution_{10-00-05}_{06-05}_02_cplexIntegrated_20250709T185738368"/>
        <s v="solution_{10-00-05}_{06-05}_03_cplexIntegrated_20250709T185738451"/>
        <s v="solution_{10-00-05}_{06-05}_04_cplexIntegrated_20250709T185739068"/>
        <s v="solution_{10-00-05}_{06-05}_05_cplexIntegrated_20250709T185900153"/>
        <s v="solution_{04-01-01}_{06-02}_02_decomposedNeighborhoodSearch_20250710T010802957"/>
        <s v="solution_{04-01-01}_{06-02}_03_decomposedNeighborhoodSearch_20250710T010802957"/>
        <s v="solution_{04-01-01}_{06-02}_04_decomposedNeighborhoodSearch_20250710T010802957"/>
        <s v="solution_{04-01-01}_{06-02}_05_decomposedNeighborhoodSearch_20250710T010802957"/>
        <s v="solution_{12-03-03}_{06-06}_02_decomposedNeighborhoodSearch_20250710T010802957"/>
        <s v="solution_{12-03-03}_{06-06}_03_decomposedNeighborhoodSearch_20250710T010802957"/>
        <s v="solution_{12-03-03}_{06-06}_04_decomposedNeighborhoodSearch_20250710T010802957"/>
        <s v="solution_{12-03-03}_{06-06}_05_decomposedNeighborhoodSearch_20250710T010802957"/>
        <s v="solution_{16-04-04}_{06-08}_01_decomposedNeighborhoodSearch_20250710T010802957"/>
        <s v="solution_{16-04-04}_{06-08}_02_decomposedNeighborhoodSearch_20250710T010802957"/>
        <s v="solution_{16-04-04}_{06-08}_03_decomposedNeighborhoodSearch_20250710T010802957"/>
        <s v="solution_{04-01-01}_{06-02}_01_decomposedNeighborhoodSearch_20250710T010802958"/>
        <s v="solution_{08-02-02}_{06-04}_01_decomposedNeighborhoodSearch_20250710T010802958"/>
        <s v="solution_{08-02-02}_{06-04}_02_decomposedNeighborhoodSearch_20250710T010802958"/>
        <s v="solution_{08-02-02}_{06-04}_03_decomposedNeighborhoodSearch_20250710T010802958"/>
        <s v="solution_{08-02-02}_{06-04}_05_decomposedNeighborhoodSearch_20250710T010802958"/>
        <s v="solution_{12-03-03}_{06-06}_01_decomposedNeighborhoodSearch_20250710T010802958"/>
        <s v="solution_{16-04-04}_{06-08}_04_decomposedNeighborhoodSearch_20250710T010802958"/>
        <s v="solution_{16-04-04}_{06-08}_05_decomposedNeighborhoodSearch_20250710T010803829"/>
        <s v="solution_{20-05-05}_{06-10}_01_decomposedNeighborhoodSearch_20250710T020803639"/>
        <s v="solution_{20-05-05}_{06-10}_02_decomposedNeighborhoodSearch_20250710T020803791"/>
        <s v="solution_{20-05-05}_{06-10}_03_decomposedNeighborhoodSearch_20250710T020803796"/>
        <s v="solution_{20-05-05}_{06-10}_04_decomposedNeighborhoodSearch_20250710T020803874"/>
        <s v="solution_{20-05-05}_{06-10}_05_decomposedNeighborhoodSearch_20250710T020804101"/>
        <s v="solution_{04-01-01}_{06-02}_01_cplexIntegrated_20250710T140051246"/>
        <s v="solution_{04-01-01}_{06-02}_02_cplexIntegrated_20250710T140051246"/>
        <s v="solution_{04-01-01}_{06-02}_03_cplexIntegrated_20250710T140051246"/>
        <s v="solution_{04-01-01}_{06-02}_04_cplexIntegrated_20250710T140051246"/>
        <s v="solution_{04-01-01}_{06-02}_05_cplexIntegrated_20250710T140051246"/>
        <s v="solution_{02-00-01}_{06-01}_01_decomposedRandom_20250710T212328292"/>
        <s v="solution_{02-00-01}_{06-01}_02_decomposedRandom_20250710T212328292"/>
        <s v="solution_{02-00-01}_{06-01}_03_decomposedRandom_20250710T212328292"/>
        <s v="solution_{02-00-01}_{06-01}_04_decomposedRandom_20250710T212328292"/>
        <s v="solution_{02-00-01}_{06-01}_05_decomposedRandom_20250710T212328292"/>
        <s v="solution_{04-00-02}_{06-02}_01_decomposedRandom_20250710T212328292"/>
        <s v="solution_{04-00-02}_{06-02}_02_decomposedRandom_20250710T212328292"/>
        <s v="solution_{04-00-02}_{06-02}_03_decomposedRandom_20250710T212328292"/>
        <s v="solution_{04-00-02}_{06-02}_04_decomposedRandom_20250710T212328292"/>
        <s v="solution_{04-00-02}_{06-02}_05_decomposedRandom_20250710T212328292"/>
        <s v="solution_{06-00-03}_{06-03}_01_decomposedRandom_20250710T212328292"/>
        <s v="solution_{06-00-03}_{06-03}_02_decomposedRandom_20250710T212328292"/>
        <s v="solution_{06-00-03}_{06-03}_03_decomposedRandom_20250710T212328292"/>
        <s v="solution_{06-00-03}_{06-03}_04_decomposedRandom_20250710T212328292"/>
        <s v="solution_{06-00-03}_{06-03}_05_decomposedRandom_20250710T212328292"/>
        <s v="solution_{08-00-04}_{06-04}_01_decomposedRandom_20250710T212328292"/>
        <s v="solution_{08-00-04}_{06-04}_02_decomposedRandom_20250710T212328292"/>
        <s v="solution_{08-00-04}_{06-04}_03_decomposedRandom_20250710T212328292"/>
        <s v="solution_{08-00-04}_{06-04}_04_decomposedRandom_20250710T212328292"/>
        <s v="solution_{08-00-04}_{06-04}_05_decomposedRandom_20250710T214057021"/>
        <s v="solution_{10-00-05}_{06-05}_01_decomposedRandom_20250710T215421601"/>
        <s v="solution_{10-00-05}_{06-05}_02_decomposedRandom_20250710T215937979"/>
        <s v="solution_{10-00-05}_{06-05}_03_decomposedRandom_20250710T220336780"/>
        <s v="solution_{10-00-05}_{06-05}_04_decomposedRandom_20250710T222328662"/>
        <s v="solution_{10-00-05}_{06-05}_05_decomposedRandom_20250710T222328776"/>
        <s v="solution_{04-01-01}_{06-02}_01_decomposedRandom_20250710T222328818"/>
        <s v="solution_{04-01-01}_{06-02}_02_decomposedRandom_20250710T222328837"/>
        <s v="solution_{04-01-01}_{06-02}_03_decomposedRandom_20250710T222328838"/>
        <s v="solution_{04-01-01}_{06-02}_04_decomposedRandom_20250710T222328902"/>
        <s v="solution_{04-01-01}_{06-02}_05_decomposedRandom_20250710T222328915"/>
        <s v="solution_{08-02-02}_{06-04}_01_decomposedRandom_20250710T222328933"/>
        <s v="solution_{08-02-02}_{06-04}_02_decomposedRandom_20250710T222328956"/>
        <s v="solution_{08-02-02}_{06-04}_03_decomposedRandom_20250710T222329052"/>
        <s v="solution_{08-02-02}_{06-04}_05_decomposedRandom_20250710T222329131"/>
        <s v="solution_{12-03-03}_{06-06}_01_decomposedRandom_20250710T222329200"/>
        <s v="solution_{12-03-03}_{06-06}_02_decomposedRandom_20250710T222329281"/>
        <s v="solution_{12-03-03}_{06-06}_03_decomposedRandom_20250710T222329326"/>
        <s v="solution_{12-03-03}_{06-06}_04_decomposedRandom_20250710T222329583"/>
        <s v="solution_{12-03-03}_{06-06}_05_decomposedRandom_20250710T224057823"/>
        <s v="solution_{16-04-04}_{06-08}_01_decomposedRandom_20250710T225422100"/>
        <s v="solution_{16-04-04}_{06-08}_02_decomposedRandom_20250710T225938728"/>
        <s v="solution_{16-04-04}_{06-08}_03_decomposedRandom_20250710T230337230"/>
        <s v="solution_{16-04-04}_{06-08}_04_decomposedRandom_20250710T232328960"/>
        <s v="solution_{16-04-04}_{06-08}_05_decomposedRandom_20250710T232329253"/>
        <s v="solution_{20-05-05}_{06-10}_01_decomposedRandom_20250710T232329623"/>
        <s v="solution_{20-05-05}_{06-10}_02_decomposedRandom_20250710T232329904"/>
        <s v="solution_{20-05-05}_{06-10}_03_decomposedRandom_20250710T232330151"/>
        <s v="solution_{20-05-05}_{06-10}_04_decomposedRandom_20250710T232330305"/>
        <s v="solution_{20-05-05}_{06-10}_05_decomposedRandom_20250710T232330434"/>
        <s v="solution_{08-00-04}_{06-04}_01_decomposedNeighborhoodSearch_20250721T161133394"/>
        <s v="solution_{08-00-04}_{06-04}_02_decomposedNeighborhoodSearch_20250721T161133394"/>
        <s v="solution_{08-00-04}_{06-04}_03_decomposedNeighborhoodSearch_20250721T161133394"/>
        <s v="solution_{08-00-04}_{06-04}_04_decomposedNeighborhoodSearch_20250721T161133394"/>
        <s v="solution_{08-00-04}_{06-04}_05_decomposedNeighborhoodSearch_20250721T161133394"/>
        <s v="solution_{08-00-04}_{06-04}_01_decomposedRandom_20250721T161150237"/>
        <s v="solution_{08-00-04}_{06-04}_03_decomposedRandom_20250721T161150237"/>
        <s v="solution_{08-00-04}_{06-04}_04_decomposedRandom_20250721T161150237"/>
        <s v="solution_{08-00-04}_{06-04}_02_decomposedRandom_20250721T161150238"/>
        <s v="solution_{08-00-04}_{06-04}_05_decomposedRandom_20250721T161150238"/>
        <s v="solution_{02-00-01}_{06-01}_01_decomposedNeighborhoodSearch_20250721T172441878"/>
        <s v="solution_{02-00-01}_{06-01}_02_decomposedNeighborhoodSearch_20250721T172441878"/>
        <s v="solution_{02-00-01}_{06-01}_03_decomposedNeighborhoodSearch_20250721T172441878"/>
        <s v="solution_{02-00-01}_{06-01}_04_decomposedNeighborhoodSearch_20250721T172441878"/>
        <s v="solution_{02-00-01}_{06-01}_05_decomposedNeighborhoodSearch_20250721T172441878"/>
        <s v="solution_{04-00-02}_{06-02}_01_decomposedNeighborhoodSearch_20250721T172441878"/>
        <s v="solution_{04-00-02}_{06-02}_02_decomposedNeighborhoodSearch_20250721T172441878"/>
        <s v="solution_{04-00-02}_{06-02}_03_decomposedNeighborhoodSearch_20250721T172441878"/>
        <s v="solution_{04-00-02}_{06-02}_04_decomposedNeighborhoodSearch_20250721T172441878"/>
        <s v="solution_{04-00-02}_{06-02}_05_decomposedNeighborhoodSearch_20250721T172441878"/>
        <s v="solution_{04-01-01}_{06-02}_01_decomposedNeighborhoodSearch_20250721T172441878"/>
        <s v="solution_{04-01-01}_{06-02}_02_decomposedNeighborhoodSearch_20250721T172441878"/>
        <s v="solution_{04-01-01}_{06-02}_03_decomposedNeighborhoodSearch_20250721T172441878"/>
        <s v="solution_{06-00-03}_{06-03}_01_decomposedNeighborhoodSearch_20250721T172441878"/>
        <s v="solution_{06-00-03}_{06-03}_02_decomposedNeighborhoodSearch_20250721T172441878"/>
        <s v="solution_{06-00-03}_{06-03}_03_decomposedNeighborhoodSearch_20250721T172441878"/>
        <s v="solution_{06-00-03}_{06-03}_04_decomposedNeighborhoodSearch_20250721T172441878"/>
        <s v="solution_{06-00-03}_{06-03}_05_decomposedNeighborhoodSearch_20250721T172441878"/>
        <s v="solution_{10-00-05}_{06-05}_01_decomposedNeighborhoodSearch_20250721T172441878"/>
        <s v="solution_{10-00-05}_{06-05}_02_decomposedNeighborhoodSearch_20250721T172441878"/>
        <s v="solution_{10-00-05}_{06-05}_03_decomposedNeighborhoodSearch_20250721T172441878"/>
        <s v="solution_{10-00-05}_{06-05}_04_decomposedNeighborhoodSearch_20250721T172441878"/>
        <s v="solution_{10-00-05}_{06-05}_05_decomposedNeighborhoodSearch_20250721T172441878"/>
        <s v="solution_{04-01-01}_{06-02}_04_decomposedNeighborhoodSearch_20250721T172846509"/>
        <s v="solution_{04-01-01}_{06-02}_05_decomposedNeighborhoodSearch_20250721T172927285"/>
        <s v="solution_{08-02-02}_{06-04}_01_decomposedNeighborhoodSearch_20250721T172958103"/>
        <s v="solution_{08-02-02}_{06-04}_02_decomposedNeighborhoodSearch_20250721T173358371"/>
        <s v="solution_{08-02-02}_{06-04}_03_decomposedNeighborhoodSearch_20250721T174919287"/>
        <s v="solution_{08-02-02}_{06-04}_04_decomposedNeighborhoodSearch_20250721T182442283"/>
        <s v="solution_{08-02-02}_{06-04}_05_decomposedNeighborhoodSearch_20250721T182442284"/>
        <s v="solution_{12-03-03}_{06-06}_01_decomposedNeighborhoodSearch_20250721T182442414"/>
        <s v="solution_{12-03-03}_{06-06}_02_decomposedNeighborhoodSearch_20250721T182442420"/>
        <s v="solution_{12-03-03}_{06-06}_03_decomposedNeighborhoodSearch_20250721T182442480"/>
        <s v="solution_{12-03-03}_{06-06}_04_decomposedNeighborhoodSearch_20250721T182442538"/>
        <s v="solution_{12-03-03}_{06-06}_05_decomposedNeighborhoodSearch_20250721T182442571"/>
        <s v="solution_{16-04-04}_{06-08}_01_decomposedNeighborhoodSearch_20250721T182442623"/>
        <s v="solution_{16-04-04}_{06-08}_02_decomposedNeighborhoodSearch_20250721T182442662"/>
        <s v="solution_{16-04-04}_{06-08}_03_decomposedNeighborhoodSearch_20250721T182442802"/>
        <s v="solution_{16-04-04}_{06-08}_04_decomposedNeighborhoodSearch_20250721T182442826"/>
        <s v="solution_{16-04-04}_{06-08}_05_decomposedNeighborhoodSearch_20250721T182442899"/>
        <s v="solution_{20-05-05}_{06-10}_01_decomposedNeighborhoodSearch_20250721T182443201"/>
        <s v="solution_{20-05-05}_{06-10}_02_decomposedNeighborhoodSearch_20250721T182443220"/>
        <s v="solution_{20-05-05}_{06-10}_03_decomposedNeighborhoodSearch_20250721T182443283"/>
        <s v="solution_{20-05-05}_{06-10}_04_decomposedNeighborhoodSearch_20250721T182443905"/>
        <s v="solution_{20-05-05}_{06-10}_05_decomposedNeighborhoodSearch_20250721T182443948"/>
        <s v="solution_{08-02-02}_{06-04}_04_decomposedRandom_20250724T222618913"/>
        <s v="solution_{08-02-02}_{06-04}_04_decomposedNeighborhoodSearch_20250724T225157489"/>
        <s v="solution_{02-00-01}_{06-01}_01_decomposedNeighborhoodSearch_20250725T001206496"/>
        <s v="solution_{02-00-01}_{06-01}_02_decomposedNeighborhoodSearch_20250725T001206496"/>
        <s v="solution_{02-00-01}_{06-01}_04_decomposedNeighborhoodSearch_20250725T001206496"/>
        <s v="solution_{04-00-02}_{06-02}_01_decomposedNeighborhoodSearch_20250725T001206496"/>
        <s v="solution_{04-00-02}_{06-02}_02_decomposedNeighborhoodSearch_20250725T001206496"/>
        <s v="solution_{04-00-02}_{06-02}_03_decomposedNeighborhoodSearch_20250725T001206496"/>
        <s v="solution_{06-00-03}_{06-03}_01_decomposedNeighborhoodSearch_20250725T001206496"/>
        <s v="solution_{02-00-01}_{06-01}_03_decomposedNeighborhoodSearch_20250725T001206497"/>
        <s v="solution_{02-00-01}_{06-01}_05_decomposedNeighborhoodSearch_20250725T001206497"/>
        <s v="solution_{04-00-02}_{06-02}_04_decomposedNeighborhoodSearch_20250725T001206497"/>
        <s v="solution_{04-00-02}_{06-02}_05_decomposedNeighborhoodSearch_20250725T001206497"/>
        <s v="solution_{06-00-03}_{06-03}_02_decomposedNeighborhoodSearch_20250725T001534614"/>
        <s v="solution_{06-00-03}_{06-03}_03_decomposedNeighborhoodSearch_20250725T001608273"/>
        <s v="solution_{06-00-03}_{06-03}_04_decomposedNeighborhoodSearch_20250725T001635789"/>
        <s v="solution_{06-00-03}_{06-03}_05_decomposedNeighborhoodSearch_20250725T001947984"/>
        <s v="solution_{08-00-04}_{06-04}_01_decomposedNeighborhoodSearch_20250725T003145197"/>
        <s v="solution_{08-00-04}_{06-04}_02_decomposedNeighborhoodSearch_20250725T011206813"/>
        <s v="solution_{08-00-04}_{06-04}_03_decomposedNeighborhoodSearch_20250725T011206818"/>
        <s v="solution_{08-00-04}_{06-04}_04_decomposedNeighborhoodSearch_20250725T011206852"/>
        <s v="solution_{08-00-04}_{06-04}_05_decomposedNeighborhoodSearch_20250725T011206870"/>
        <s v="solution_{10-00-05}_{06-05}_01_decomposedNeighborhoodSearch_20250725T011207007"/>
        <s v="solution_{10-00-05}_{06-05}_02_decomposedNeighborhoodSearch_20250725T011207088"/>
        <s v="solution_{10-00-05}_{06-05}_03_decomposedNeighborhoodSearch_20250725T011535065"/>
        <s v="solution_{10-00-05}_{06-05}_04_decomposedNeighborhoodSearch_20250725T011608439"/>
        <s v="solution_{10-00-05}_{06-05}_05_decomposedNeighborhoodSearch_20250725T011636139"/>
        <s v="solution_{04-01-01}_{06-02}_01_decomposedNeighborhoodSearch_20250725T011948690"/>
        <s v="solution_{04-01-01}_{06-02}_02_decomposedNeighborhoodSearch_20250725T013145392"/>
        <s v="solution_{04-01-01}_{06-02}_03_decomposedNeighborhoodSearch_20250725T021206969"/>
        <s v="solution_{04-01-01}_{06-02}_04_decomposedNeighborhoodSearch_20250725T021206969"/>
        <s v="solution_{04-01-01}_{06-02}_05_decomposedNeighborhoodSearch_20250725T021207092"/>
        <s v="solution_{08-02-02}_{06-04}_01_decomposedNeighborhoodSearch_20250725T021207143"/>
        <s v="solution_{08-02-02}_{06-04}_02_decomposedNeighborhoodSearch_20250725T021207523"/>
        <s v="solution_{08-02-02}_{06-04}_03_decomposedNeighborhoodSearch_20250725T021207713"/>
        <s v="solution_{08-02-02}_{06-04}_04_decomposedNeighborhoodSearch_20250725T021536089"/>
        <s v="solution_{08-02-02}_{06-04}_05_decomposedNeighborhoodSearch_20250725T021609488"/>
        <s v="solution_{12-03-03}_{06-06}_01_decomposedNeighborhoodSearch_20250725T021636556"/>
        <s v="solution_{12-03-03}_{06-06}_02_decomposedNeighborhoodSearch_20250725T021949533"/>
        <s v="solution_{12-03-03}_{06-06}_03_decomposedNeighborhoodSearch_20250725T023145586"/>
        <s v="solution_{12-03-03}_{06-06}_04_decomposedNeighborhoodSearch_20250725T031207345"/>
        <s v="solution_{12-03-03}_{06-06}_05_decomposedNeighborhoodSearch_20250725T031207519"/>
        <s v="solution_{16-04-04}_{06-08}_01_decomposedNeighborhoodSearch_20250725T031207605"/>
        <s v="solution_{16-04-04}_{06-08}_02_decomposedNeighborhoodSearch_20250725T031208017"/>
        <s v="solution_{16-04-04}_{06-08}_03_decomposedNeighborhoodSearch_20250725T031215103"/>
        <s v="solution_{16-04-04}_{06-08}_04_decomposedNeighborhoodSearch_20250725T031216904"/>
        <s v="solution_{16-04-04}_{06-08}_05_decomposedNeighborhoodSearch_20250725T031537262"/>
        <s v="solution_{20-05-05}_{06-10}_01_decomposedNeighborhoodSearch_20250725T031612282"/>
        <s v="solution_{20-05-05}_{06-10}_02_decomposedNeighborhoodSearch_20250725T031637811"/>
        <s v="solution_{20-05-05}_{06-10}_03_decomposedNeighborhoodSearch_20250725T031951685"/>
        <s v="solution_{20-05-05}_{06-10}_04_decomposedNeighborhoodSearch_20250725T033147561"/>
        <s v="solution_{20-05-05}_{06-10}_05_decomposedNeighborhoodSearch_20250725T041208709"/>
        <s v="solution_{02-00-01}_{06-01}_01_decomposedRandom_20250725T114034544"/>
        <s v="solution_{02-00-01}_{06-01}_02_decomposedRandom_20250725T114034544"/>
        <s v="solution_{02-00-01}_{06-01}_03_decomposedRandom_20250725T114034544"/>
        <s v="solution_{02-00-01}_{06-01}_04_decomposedRandom_20250725T114034544"/>
        <s v="solution_{02-00-01}_{06-01}_05_decomposedRandom_20250725T114034544"/>
        <s v="solution_{04-00-02}_{06-02}_01_decomposedRandom_20250725T114034544"/>
        <s v="solution_{04-00-02}_{06-02}_02_decomposedRandom_20250725T114034544"/>
        <s v="solution_{04-00-02}_{06-02}_03_decomposedRandom_20250725T114034544"/>
        <s v="solution_{04-00-02}_{06-02}_04_decomposedRandom_20250725T114034544"/>
        <s v="solution_{04-00-02}_{06-02}_05_decomposedRandom_20250725T114034544"/>
        <s v="solution_{06-00-03}_{06-03}_01_decomposedRandom_20250725T114034544"/>
        <s v="solution_{06-00-03}_{06-03}_02_decomposedRandom_20250725T115449100"/>
        <s v="solution_{06-00-03}_{06-03}_03_decomposedRandom_20250725T120544687"/>
        <s v="solution_{06-00-03}_{06-03}_04_decomposedRandom_20250725T121138285"/>
        <s v="solution_{06-00-03}_{06-03}_05_decomposedRandom_20250725T121246137"/>
        <s v="solution_{08-00-04}_{06-04}_01_decomposedRandom_20250725T124034850"/>
        <s v="solution_{08-00-04}_{06-04}_02_decomposedRandom_20250725T124034880"/>
        <s v="solution_{08-00-04}_{06-04}_03_decomposedRandom_20250725T124034933"/>
        <s v="solution_{08-00-04}_{06-04}_04_decomposedRandom_20250725T124035243"/>
        <s v="solution_{08-00-04}_{06-04}_05_decomposedRandom_20250725T124035248"/>
        <s v="solution_{10-00-05}_{06-05}_01_decomposedRandom_20250725T124035279"/>
        <s v="solution_{10-00-05}_{06-05}_02_decomposedRandom_20250725T124035671"/>
        <s v="solution_{10-00-05}_{06-05}_03_decomposedRandom_20250725T125449308"/>
        <s v="solution_{10-00-05}_{06-05}_04_decomposedRandom_20250725T130544769"/>
        <s v="solution_{10-00-05}_{06-05}_05_decomposedRandom_20250725T131139068"/>
        <s v="solution_{04-01-01}_{06-02}_01_decomposedRandom_20250725T131246430"/>
        <s v="solution_{04-01-01}_{06-02}_02_decomposedRandom_20250725T134035116"/>
        <s v="solution_{04-01-01}_{06-02}_03_decomposedRandom_20250725T134035357"/>
        <s v="solution_{04-01-01}_{06-02}_04_decomposedRandom_20250725T134035619"/>
        <s v="solution_{04-01-01}_{06-02}_05_decomposedRandom_20250725T134035660"/>
        <s v="solution_{08-02-02}_{06-04}_01_decomposedRandom_20250725T134035693"/>
        <s v="solution_{08-02-02}_{06-04}_02_decomposedRandom_20250725T134035817"/>
        <s v="solution_{08-02-02}_{06-04}_03_decomposedRandom_20250725T134036523"/>
        <s v="solution_{08-02-02}_{06-04}_04_decomposedRandom_20250725T135450142"/>
        <s v="solution_{08-02-02}_{06-04}_05_decomposedRandom_20250725T140545320"/>
        <s v="solution_{12-03-03}_{06-06}_01_decomposedRandom_20250725T141139392"/>
        <s v="solution_{12-03-03}_{06-06}_02_decomposedRandom_20250725T141246581"/>
        <s v="solution_{12-03-03}_{06-06}_03_decomposedRandom_20250725T144036099"/>
        <s v="solution_{12-03-03}_{06-06}_04_decomposedRandom_20250725T144036129"/>
        <s v="solution_{12-03-03}_{06-06}_05_decomposedRandom_20250725T144036220"/>
        <s v="solution_{16-04-04}_{06-08}_01_decomposedRandom_20250725T144036414"/>
        <s v="solution_{16-04-04}_{06-08}_02_decomposedRandom_20250725T144036572"/>
        <s v="solution_{16-04-04}_{06-08}_03_decomposedRandom_20250725T144036946"/>
        <s v="solution_{16-04-04}_{06-08}_04_decomposedRandom_20250725T144057301"/>
        <s v="solution_{16-04-04}_{06-08}_05_decomposedRandom_20250725T145451316"/>
        <s v="solution_{20-05-05}_{06-10}_01_decomposedRandom_20250725T150546275"/>
        <s v="solution_{20-05-05}_{06-10}_02_decomposedRandom_20250725T151140904"/>
        <s v="solution_{20-05-05}_{06-10}_03_decomposedRandom_20250725T151248320"/>
        <s v="solution_{20-05-05}_{06-10}_04_decomposedRandom_20250725T154037122"/>
        <s v="solution_{20-05-05}_{06-10}_05_decomposedRandom_20250725T154037226"/>
        <s v="solution_{02-00-01}_{06-01}_01_localRefinement_20250828T200702325"/>
        <s v="solution_{02-00-01}_{06-01}_02_localRefinement_20250828T200702325"/>
        <s v="solution_{02-00-01}_{06-01}_03_localRefinement_20250828T200702325"/>
        <s v="solution_{02-00-01}_{06-01}_04_localRefinement_20250828T200702325"/>
        <s v="solution_{02-00-01}_{06-01}_05_localRefinement_20250828T200702325"/>
        <s v="solution_{04-00-02}_{06-02}_02_localRefinement_20250828T200702325"/>
        <s v="solution_{04-00-02}_{06-02}_03_localRefinement_20250828T200702325"/>
        <s v="solution_{04-00-02}_{06-02}_04_localRefinement_20250828T200702325"/>
        <s v="solution_{04-00-02}_{06-02}_05_localRefinement_20250828T200702325"/>
        <s v="solution_{04-01-01}_{06-02}_03_localRefinement_20250828T200702325"/>
        <s v="solution_{06-00-03}_{06-03}_04_localRefinement_20250828T200702325"/>
        <s v="solution_{06-00-03}_{06-03}_05_localRefinement_20250828T200702325"/>
        <s v="solution_{08-00-04}_{06-04}_02_localRefinement_20250828T200702325"/>
        <s v="solution_{08-00-04}_{06-04}_05_localRefinement_20250828T210702692"/>
        <s v="solution_{08-02-02}_{06-04}_01_localRefinement_20250828T210702692"/>
        <s v="solution_{08-02-02}_{06-04}_02_localRefinement_20250828T210702692"/>
        <s v="solution_{08-02-02}_{06-04}_04_localRefinement_20250828T210702739"/>
        <s v="solution_{10-00-05}_{06-05}_01_localRefinement_20250828T210702777"/>
        <s v="solution_{10-00-05}_{06-05}_02_localRefinement_20250828T210702857"/>
        <s v="solution_{10-00-05}_{06-05}_04_localRefinement_20250828T210703005"/>
        <s v="solution_{12-03-03}_{06-06}_01_localRefinement_20250828T210703128"/>
        <s v="solution_{12-03-03}_{06-06}_02_localRefinement_20250828T210703159"/>
        <s v="solution_{12-03-03}_{06-06}_03_localRefinement_20250828T210703165"/>
        <s v="solution_{12-03-03}_{06-06}_05_localRefinement_20250828T210703257"/>
        <s v="solution_{16-04-04}_{06-08}_03_localRefinement_20250828T210703322"/>
        <s v="solution_{16-04-04}_{06-08}_05_localRefinement_20250828T210703529"/>
        <s v="solution_{20-05-05}_{06-10}_01_localRefinement_20250828T210703602"/>
        <s v="solution_{20-05-05}_{06-10}_02_localRefinement_20250828T220703127"/>
        <s v="solution_{20-05-05}_{06-10}_03_localRefinement_20250828T220703367"/>
        <s v="solution_{02-00-01}_{06-01}_01_cplexIntegrated_20250830T185232520"/>
        <s v="solution_{02-00-01}_{06-01}_02_cplexIntegrated_20250830T185232520"/>
        <s v="solution_{02-00-01}_{06-01}_03_cplexIntegrated_20250830T185232520"/>
        <s v="solution_{02-00-01}_{06-01}_04_cplexIntegrated_20250830T185232520"/>
        <s v="solution_{02-00-01}_{06-01}_05_cplexIntegrated_20250830T185232520"/>
        <s v="solution_{04-00-02}_{06-02}_01_cplexIntegrated_20250830T185232520"/>
        <s v="solution_{04-00-02}_{06-02}_02_cplexIntegrated_20250830T185232520"/>
        <s v="solution_{04-00-02}_{06-02}_03_cplexIntegrated_20250830T185232520"/>
        <s v="solution_{04-00-02}_{06-02}_04_cplexIntegrated_20250830T185232520"/>
        <s v="solution_{04-00-02}_{06-02}_05_cplexIntegrated_20250830T185232520"/>
        <s v="solution_{06-00-03}_{06-03}_01_cplexIntegrated_20250830T185233477"/>
        <s v="solution_{06-00-03}_{06-03}_02_cplexIntegrated_20250830T185234885"/>
        <s v="solution_{06-00-03}_{06-03}_03_cplexIntegrated_20250830T185234893"/>
        <s v="solution_{06-00-03}_{06-03}_04_cplexIntegrated_20250830T185235481"/>
        <s v="solution_{06-00-03}_{06-03}_05_cplexIntegrated_20250830T185238114"/>
        <s v="solution_{04-01-01}_{06-02}_01_cplexIntegrated_20250830T185624421"/>
        <s v="solution_{04-01-01}_{06-02}_03_cplexIntegrated_20250830T195234811"/>
        <s v="solution_{04-01-01}_{06-02}_04_cplexIntegrated_20250830T195234869"/>
        <s v="solution_{04-01-01}_{06-02}_05_cplexIntegrated_20250830T195235112"/>
        <s v="solution_{08-00-04}_{06-04}_01_cplexIntegrated_20250830T195237446"/>
        <s v="solution_{08-00-04}_{06-04}_02_cplexIntegrated_20250830T195239292"/>
        <s v="solution_{08-00-04}_{06-04}_03_cplexIntegrated_20250830T195239353"/>
        <s v="solution_{08-00-04}_{06-04}_04_cplexIntegrated_20250830T195239723"/>
        <s v="solution_{08-00-04}_{06-04}_05_cplexIntegrated_20250830T195241480"/>
        <s v="solution_{10-00-05}_{06-05}_01_cplexIntegrated_20250830T195629795"/>
        <s v="solution_{10-00-05}_{06-05}_02_cplexIntegrated_20250830T200907769"/>
        <s v="solution_{10-00-05}_{06-05}_04_cplexIntegrated_20250830T205242084"/>
        <s v="solution_{10-00-05}_{06-05}_05_cplexIntegrated_20250830T205242725"/>
        <s v="solution_{02-00-01}_{06-01}_01_decomposedNeighborhoodSearch_20250831T021148494"/>
        <s v="solution_{02-00-01}_{06-01}_02_decomposedNeighborhoodSearch_20250831T021148494"/>
        <s v="solution_{02-00-01}_{06-01}_03_decomposedNeighborhoodSearch_20250831T021148494"/>
        <s v="solution_{02-00-01}_{06-01}_04_decomposedNeighborhoodSearch_20250831T021148494"/>
        <s v="solution_{02-00-01}_{06-01}_01_localRefinement_20250831T021208641"/>
        <s v="solution_{02-00-01}_{06-01}_02_localRefinement_20250831T021208641"/>
        <s v="solution_{02-00-01}_{06-01}_03_localRefinement_20250831T021208641"/>
        <s v="solution_{02-00-01}_{06-01}_04_localRefinement_20250831T021208641"/>
        <s v="solution_{02-00-01}_{06-01}_01_decomposedRandom_20250831T021232464"/>
        <s v="solution_{02-00-01}_{06-01}_02_decomposedRandom_20250831T021232464"/>
        <s v="solution_{02-00-01}_{06-01}_03_decomposedRandom_20250831T021232464"/>
        <s v="solution_{02-00-01}_{06-01}_04_decomposedRandom_20250831T021232464"/>
        <s v="solution_{02-00-01}_{06-01}_05_decomposedNeighborhoodSearch_20250831T021404398"/>
        <s v="solution_{02-00-01}_{06-01}_05_decomposedRandom_20250831T022309288"/>
        <s v="solution_{04-00-02}_{06-02}_01_decomposedNeighborhoodSearch_20250831T022418717"/>
        <s v="solution_{04-00-02}_{06-02}_02_decomposedNeighborhoodSearch_20250831T022452876"/>
        <s v="solution_{04-00-02}_{06-02}_03_decomposedNeighborhoodSearch_20250831T022552544"/>
        <s v="solution_{04-00-02}_{06-02}_01_decomposedRandom_20250831T023823596"/>
        <s v="solution_{04-00-02}_{06-02}_04_decomposedNeighborhoodSearch_20250831T024132673"/>
        <s v="solution_{04-00-02}_{06-02}_02_decomposedRandom_20250831T024555019"/>
        <s v="solution_{04-00-02}_{06-02}_03_decomposedRandom_20250831T025448266"/>
        <s v="solution_{02-00-01}_{06-01}_05_localRefinement_20250831T031208696"/>
        <s v="solution_{04-00-02}_{06-02}_01_localRefinement_20250831T031208696"/>
        <s v="solution_{04-00-02}_{06-02}_02_localRefinement_20250831T031208696"/>
        <s v="solution_{04-00-02}_{06-02}_03_localRefinement_20250831T031208703"/>
        <s v="solution_{04-00-02}_{06-02}_04_decomposedRandom_20250831T031232532"/>
        <s v="solution_{04-00-02}_{06-02}_05_decomposedNeighborhoodSearch_20250831T032419134"/>
        <s v="solution_{06-00-03}_{06-03}_01_decomposedNeighborhoodSearch_20250831T032452935"/>
        <s v="solution_{06-00-03}_{06-03}_02_decomposedNeighborhoodSearch_20250831T032553062"/>
        <s v="solution_{04-00-02}_{06-02}_05_decomposedRandom_20250831T033823793"/>
        <s v="solution_{06-00-03}_{06-03}_03_decomposedNeighborhoodSearch_20250831T034132792"/>
        <s v="solution_{06-00-03}_{06-03}_01_decomposedRandom_20250831T034555129"/>
        <s v="solution_{06-00-03}_{06-03}_02_decomposedRandom_20250831T035448325"/>
        <s v="solution_{04-00-02}_{06-02}_04_localRefinement_20250831T041208725"/>
        <s v="solution_{04-00-02}_{06-02}_05_localRefinement_20250831T041208791"/>
        <s v="solution_{06-00-03}_{06-03}_01_localRefinement_20250831T041208804"/>
        <s v="solution_{06-00-03}_{06-03}_02_localRefinement_20250831T041208818"/>
        <s v="solution_{06-00-03}_{06-03}_03_decomposedRandom_20250831T041233300"/>
        <s v="solution_{06-00-03}_{06-03}_04_decomposedNeighborhoodSearch_20250831T042419412"/>
        <s v="solution_{06-00-03}_{06-03}_05_decomposedNeighborhoodSearch_20250831T042453462"/>
        <s v="solution_{08-00-04}_{06-04}_01_decomposedNeighborhoodSearch_20250831T042553587"/>
        <s v="solution_{06-00-03}_{06-03}_04_decomposedRandom_20250831T043823881"/>
        <s v="solution_{08-00-04}_{06-04}_02_decomposedNeighborhoodSearch_20250831T044133059"/>
        <s v="solution_{06-00-03}_{06-03}_05_decomposedRandom_20250831T044555225"/>
        <s v="solution_{08-00-04}_{06-04}_01_decomposedRandom_20250831T045448407"/>
        <s v="solution_{06-00-03}_{06-03}_03_localRefinement_20250831T051208764"/>
        <s v="solution_{06-00-03}_{06-03}_04_localRefinement_20250831T051208908"/>
        <s v="solution_{06-00-03}_{06-03}_05_localRefinement_20250831T051209024"/>
        <s v="solution_{08-00-04}_{06-04}_01_localRefinement_20250831T051209044"/>
        <s v="solution_{08-00-04}_{06-04}_02_decomposedRandom_20250831T051233951"/>
        <s v="solution_{08-00-04}_{06-04}_03_decomposedNeighborhoodSearch_20250831T052419980"/>
        <s v="solution_{08-00-04}_{06-04}_04_decomposedNeighborhoodSearch_20250831T052453518"/>
        <s v="solution_{08-00-04}_{06-04}_05_decomposedNeighborhoodSearch_20250831T052554347"/>
        <s v="solution_{08-00-04}_{06-04}_03_decomposedRandom_20250831T053824392"/>
        <s v="solution_{10-00-05}_{06-05}_01_decomposedNeighborhoodSearch_20250831T054134071"/>
        <s v="solution_{08-00-04}_{06-04}_04_decomposedRandom_20250831T054555409"/>
        <s v="solution_{08-00-04}_{06-04}_05_decomposedRandom_20250831T055448641"/>
        <s v="solution_{08-00-04}_{06-04}_02_localRefinement_20250831T061209107"/>
        <s v="solution_{08-00-04}_{06-04}_03_localRefinement_20250831T061209235"/>
        <s v="solution_{08-00-04}_{06-04}_04_localRefinement_20250831T061209274"/>
        <s v="solution_{08-00-04}_{06-04}_05_localRefinement_20250831T061209448"/>
        <s v="solution_{10-00-05}_{06-05}_01_decomposedRandom_20250831T061234021"/>
        <s v="solution_{10-00-05}_{06-05}_02_decomposedNeighborhoodSearch_20250831T062420341"/>
        <s v="solution_{10-00-05}_{06-05}_03_decomposedNeighborhoodSearch_20250831T062453746"/>
        <s v="solution_{10-00-05}_{06-05}_04_decomposedNeighborhoodSearch_20250831T062554716"/>
        <s v="solution_{10-00-05}_{06-05}_02_decomposedRandom_20250831T063825236"/>
        <s v="solution_{10-00-05}_{06-05}_05_decomposedNeighborhoodSearch_20250831T064134996"/>
        <s v="solution_{10-00-05}_{06-05}_03_decomposedRandom_20250831T064555481"/>
        <s v="solution_{10-00-05}_{06-05}_04_decomposedRandom_20250831T065448732"/>
        <s v="solution_{10-00-05}_{06-05}_01_localRefinement_20250831T071209549"/>
        <s v="solution_{10-00-05}_{06-05}_02_localRefinement_20250831T071209615"/>
        <s v="solution_{10-00-05}_{06-05}_03_localRefinement_20250831T071209713"/>
        <s v="solution_{10-00-05}_{06-05}_04_localRefinement_20250831T071209933"/>
        <s v="solution_{10-00-05}_{06-05}_05_decomposedRandom_20250831T071234229"/>
        <s v="solution_{04-01-01}_{06-02}_01_decomposedNeighborhoodSearch_20250831T072420444"/>
        <s v="solution_{04-01-01}_{06-02}_02_decomposedNeighborhoodSearch_20250831T072453956"/>
        <s v="solution_{04-01-01}_{06-02}_03_decomposedNeighborhoodSearch_20250831T072555610"/>
        <s v="solution_{04-01-01}_{06-02}_01_decomposedRandom_20250831T073825342"/>
        <s v="solution_{04-01-01}_{06-02}_04_decomposedNeighborhoodSearch_20250831T074135390"/>
        <s v="solution_{04-01-01}_{06-02}_02_decomposedRandom_20250831T074555915"/>
        <s v="solution_{04-01-01}_{06-02}_03_decomposedRandom_20250831T075449344"/>
        <s v="solution_{10-00-05}_{06-05}_05_localRefinement_20250831T081210337"/>
        <s v="solution_{04-01-01}_{06-02}_01_localRefinement_20250831T081210364"/>
        <s v="solution_{04-01-01}_{06-02}_02_localRefinement_20250831T081210456"/>
        <s v="solution_{04-01-01}_{06-02}_03_localRefinement_20250831T081210604"/>
        <s v="solution_{04-01-01}_{06-02}_04_decomposedRandom_20250831T081234904"/>
        <s v="solution_{04-01-01}_{06-02}_05_decomposedNeighborhoodSearch_20250831T082422791"/>
        <s v="solution_{08-02-02}_{06-04}_01_decomposedNeighborhoodSearch_20250831T082455433"/>
        <s v="solution_{08-02-02}_{06-04}_02_decomposedNeighborhoodSearch_20250831T082556019"/>
        <s v="solution_{04-01-01}_{06-02}_05_decomposedRandom_20250831T083827152"/>
        <s v="solution_{08-02-02}_{06-04}_03_decomposedNeighborhoodSearch_20250831T084135648"/>
        <s v="solution_{08-02-02}_{06-04}_01_decomposedRandom_20250831T084556852"/>
        <s v="solution_{08-02-02}_{06-04}_02_decomposedRandom_20250831T085450027"/>
        <s v="solution_{04-01-01}_{06-02}_04_localRefinement_20250831T091211083"/>
        <s v="solution_{04-01-01}_{06-02}_05_localRefinement_20250831T091211093"/>
        <s v="solution_{08-02-02}_{06-04}_01_localRefinement_20250831T091211257"/>
        <s v="solution_{08-02-02}_{06-04}_02_localRefinement_20250831T091211334"/>
        <s v="solution_{08-02-02}_{06-04}_03_decomposedRandom_20250831T091235049"/>
        <s v="solution_{08-02-02}_{06-04}_04_decomposedNeighborhoodSearch_20250831T092423618"/>
        <s v="solution_{08-02-02}_{06-04}_05_decomposedNeighborhoodSearch_20250831T092455689"/>
        <s v="solution_{12-03-03}_{06-06}_01_decomposedNeighborhoodSearch_20250831T092556550"/>
        <s v="solution_{08-02-02}_{06-04}_04_decomposedRandom_20250831T093829279"/>
        <s v="solution_{12-03-03}_{06-06}_02_decomposedNeighborhoodSearch_20250831T094136899"/>
        <s v="solution_{08-02-02}_{06-04}_05_decomposedRandom_20250831T094557808"/>
        <s v="solution_{12-03-03}_{06-06}_01_decomposedRandom_20250831T095457113"/>
        <s v="solution_{08-02-02}_{06-04}_03_localRefinement_20250831T101211984"/>
        <s v="solution_{08-02-02}_{06-04}_04_localRefinement_20250831T101212298"/>
        <s v="solution_{08-02-02}_{06-04}_05_localRefinement_20250831T101214766"/>
        <s v="solution_{12-03-03}_{06-06}_01_localRefinement_20250831T101215198"/>
        <s v="solution_{12-03-03}_{06-06}_02_decomposedRandom_20250831T101236330"/>
        <s v="solution_{12-03-03}_{06-06}_03_decomposedNeighborhoodSearch_20250831T102424559"/>
        <s v="solution_{12-03-03}_{06-06}_04_decomposedNeighborhoodSearch_20250831T102502073"/>
        <s v="solution_{12-03-03}_{06-06}_05_decomposedNeighborhoodSearch_20250831T102558647"/>
        <s v="solution_{12-03-03}_{06-06}_03_decomposedRandom_20250831T103842266"/>
        <s v="solution_{16-04-04}_{06-08}_01_decomposedNeighborhoodSearch_20250831T104138371"/>
        <s v="solution_{12-03-03}_{06-06}_04_decomposedRandom_20250831T104559552"/>
        <s v="solution_{12-03-03}_{06-06}_05_decomposedRandom_20250831T105458159"/>
        <s v="solution_{16-04-04}_{06-08}_01_decomposedRandom_20250831T111337274"/>
        <s v="solution_{16-04-04}_{06-08}_02_decomposedNeighborhoodSearch_20250831T112426255"/>
        <s v="solution_{16-04-04}_{06-08}_03_decomposedNeighborhoodSearch_20250831T112502952"/>
        <s v="solution_{16-04-04}_{06-08}_04_decomposedNeighborhoodSearch_20250831T112600708"/>
        <s v="solution_{16-04-04}_{06-08}_02_decomposedRandom_20250831T113843094"/>
        <s v="solution_{16-04-04}_{06-08}_05_decomposedNeighborhoodSearch_20250831T114141066"/>
        <s v="solution_{16-04-04}_{06-08}_03_decomposedRandom_20250831T114603113"/>
        <s v="solution_{16-04-04}_{06-08}_04_decomposedRandom_20250831T115506982"/>
        <s v="solution_{16-04-04}_{06-08}_05_decomposedRandom_20250831T121339371"/>
        <s v="solution_{20-05-05}_{06-10}_01_decomposedNeighborhoodSearch_20250831T122428205"/>
        <s v="solution_{20-05-05}_{06-10}_02_decomposedNeighborhoodSearch_20250831T122505054"/>
        <s v="solution_{20-05-05}_{06-10}_03_decomposedNeighborhoodSearch_20250831T122602896"/>
        <s v="solution_{20-05-05}_{06-10}_01_decomposedRandom_20250831T123843885"/>
        <s v="solution_{20-05-05}_{06-10}_04_decomposedNeighborhoodSearch_20250831T124143110"/>
        <s v="solution_{20-05-05}_{06-10}_02_decomposedRandom_20250831T124605004"/>
        <s v="solution_{20-05-05}_{06-10}_03_decomposedRandom_20250831T125508078"/>
        <s v="solution_{02-00-01}_{06-01}_01_localRefinement_20250831T131027197"/>
        <s v="solution_{02-00-01}_{06-01}_02_localRefinement_20250831T131027197"/>
        <s v="solution_{02-00-01}_{06-01}_03_localRefinement_20250831T131027197"/>
        <s v="solution_{02-00-01}_{06-01}_04_localRefinement_20250831T131027197"/>
        <s v="solution_{20-05-05}_{06-10}_04_decomposedRandom_20250831T131340991"/>
        <s v="solution_{20-05-05}_{06-10}_05_decomposedNeighborhoodSearch_20250831T132429977"/>
        <s v="solution_{20-05-05}_{06-10}_05_decomposedRandom_20250831T133845759"/>
        <s v="solution_{02-00-01}_{06-01}_05_localRefinement_20250831T141027295"/>
        <s v="solution_{04-00-02}_{06-02}_01_localRefinement_20250831T141027295"/>
        <s v="solution_{04-00-02}_{06-02}_02_localRefinement_20250831T141027295"/>
        <s v="solution_{04-00-02}_{06-02}_03_localRefinement_20250831T141027298"/>
        <s v="solution_{04-00-02}_{06-02}_04_localRefinement_20250831T151027314"/>
        <s v="solution_{04-00-02}_{06-02}_05_localRefinement_20250831T151027393"/>
        <s v="solution_{06-00-03}_{06-03}_01_localRefinement_20250831T151027400"/>
        <s v="solution_{06-00-03}_{06-03}_02_localRefinement_20250831T151027422"/>
        <s v="solution_{06-00-03}_{06-03}_03_localRefinement_20250831T161027407"/>
        <s v="solution_{06-00-03}_{06-03}_04_localRefinement_20250831T161027516"/>
        <s v="solution_{06-00-03}_{06-03}_05_localRefinement_20250831T161027624"/>
        <s v="solution_{08-00-04}_{06-04}_01_localRefinement_20250831T161030375"/>
        <s v="solution_{02-00-01}_{06-01}_01_cplexIntegrated_20250831T163527958"/>
        <s v="solution_{02-00-01}_{06-01}_02_cplexIntegrated_20250831T163527958"/>
        <s v="solution_{02-00-01}_{06-01}_03_cplexIntegrated_20250831T163527958"/>
        <s v="solution_{02-00-01}_{06-01}_04_cplexIntegrated_20250831T163527958"/>
        <s v="solution_{02-00-01}_{06-01}_05_cplexIntegrated_20250831T163528876"/>
        <s v="solution_{04-00-02}_{06-02}_01_cplexIntegrated_20250831T163530264"/>
        <s v="solution_{04-00-02}_{06-02}_02_cplexIntegrated_20250831T163530416"/>
        <s v="solution_{04-00-02}_{06-02}_03_cplexIntegrated_20250831T163530471"/>
        <s v="solution_{04-00-02}_{06-02}_04_cplexIntegrated_20250831T163532881"/>
        <s v="solution_{04-00-02}_{06-02}_05_cplexIntegrated_20250831T163858371"/>
        <s v="solution_{06-00-03}_{06-03}_01_cplexIntegrated_20250831T164910892"/>
        <s v="solution_{08-00-04}_{06-04}_02_localRefinement_20250831T171027806"/>
        <s v="solution_{08-00-04}_{06-04}_03_localRefinement_20250831T171027876"/>
        <s v="solution_{08-00-04}_{06-04}_04_localRefinement_20250831T171030807"/>
        <s v="solution_{08-00-04}_{06-04}_05_localRefinement_20250831T171030895"/>
        <s v="solution_{06-00-03}_{06-03}_02_cplexIntegrated_20250831T173531622"/>
        <s v="solution_{06-00-03}_{06-03}_03_cplexIntegrated_20250831T173533901"/>
        <s v="solution_{06-00-03}_{06-03}_04_cplexIntegrated_20250831T173859412"/>
        <s v="solution_{06-00-03}_{06-03}_05_cplexIntegrated_20250831T174914470"/>
        <s v="solution_{10-00-05}_{06-05}_01_localRefinement_20250831T181028283"/>
        <s v="solution_{10-00-05}_{06-05}_02_localRefinement_20250831T181028355"/>
        <s v="solution_{10-00-05}_{06-05}_03_localRefinement_20250831T181031265"/>
        <s v="solution_{10-00-05}_{06-05}_04_localRefinement_20250831T181031340"/>
        <s v="solution_{08-00-04}_{06-04}_01_cplexIntegrated_20250831T183535234"/>
        <s v="solution_{08-00-04}_{06-04}_02_cplexIntegrated_20250831T183537426"/>
        <s v="solution_{08-00-04}_{06-04}_03_cplexIntegrated_20250831T183902868"/>
        <s v="solution_{08-00-04}_{06-04}_04_cplexIntegrated_20250831T184917391"/>
        <s v="solution_{10-00-05}_{06-05}_05_localRefinement_20250831T191029014"/>
        <s v="solution_{04-01-01}_{06-02}_01_localRefinement_20250831T191029375"/>
        <s v="solution_{04-01-01}_{06-02}_02_localRefinement_20250831T191032098"/>
        <s v="solution_{04-01-01}_{06-02}_03_localRefinement_20250831T191032141"/>
        <s v="solution_{08-00-04}_{06-04}_05_cplexIntegrated_20250831T193543859"/>
        <s v="solution_{10-00-05}_{06-05}_01_cplexIntegrated_20250831T193545812"/>
        <s v="solution_{10-00-05}_{06-05}_02_cplexIntegrated_20250831T193910816"/>
        <s v="solution_{10-00-05}_{06-05}_03_cplexIntegrated_20250831T194925511"/>
        <s v="solution_{04-01-01}_{06-02}_04_localRefinement_20250831T201029962"/>
        <s v="solution_{04-01-01}_{06-02}_05_localRefinement_20250831T201030068"/>
        <s v="solution_{08-02-02}_{06-04}_01_localRefinement_20250831T201032788"/>
        <s v="solution_{08-02-02}_{06-04}_02_localRefinement_20250831T201033074"/>
        <s v="solution_{10-00-05}_{06-05}_04_cplexIntegrated_20250831T203553111"/>
        <s v="solution_{10-00-05}_{06-05}_05_cplexIntegrated_20250831T203603383"/>
        <s v="solution_{04-01-01}_{06-02}_01_cplexIntegrated_20250831T203928212"/>
        <s v="solution_{04-01-01}_{06-02}_02_cplexIntegrated_20250831T204941431"/>
        <s v="solution_{08-02-02}_{06-04}_03_localRefinement_20250831T211030679"/>
        <s v="solution_{08-02-02}_{06-04}_04_localRefinement_20250831T211030800"/>
        <s v="solution_{08-02-02}_{06-04}_05_localRefinement_20250831T211036248"/>
        <s v="solution_{12-03-03}_{06-06}_01_localRefinement_20250831T211036422"/>
        <s v="solution_{04-01-01}_{06-02}_03_cplexIntegrated_20250831T213610119"/>
        <s v="solution_{04-01-01}_{06-02}_04_cplexIntegrated_20250831T213620690"/>
        <s v="solution_{04-01-01}_{06-02}_05_cplexIntegrated_20250831T213933525"/>
        <s v="solution_{12-03-03}_{06-06}_02_localRefinement_20250831T221034460"/>
        <s v="solution_{12-03-03}_{06-06}_03_localRefinement_20250831T221034708"/>
        <s v="solution_{12-03-03}_{06-06}_04_localRefinement_20250831T221037346"/>
        <s v="solution_{12-03-03}_{06-06}_05_localRefinement_20250831T221039729"/>
        <s v="solution_{16-04-04}_{06-08}_01_localRefinement_20250831T231044024"/>
        <s v="solution_{16-04-04}_{06-08}_02_localRefinement_20250831T231044416"/>
        <s v="solution_{16-04-04}_{06-08}_03_localRefinement_20250831T231047380"/>
        <s v="solution_{16-04-04}_{06-08}_04_localRefinement_20250831T231049556"/>
        <s v="solution_{16-04-04}_{06-08}_05_localRefinement_20250901T001108037"/>
        <s v="solution_{20-05-05}_{06-10}_01_localRefinement_20250901T001108653"/>
        <s v="solution_{20-05-05}_{06-10}_02_localRefinement_20250901T001113344"/>
        <s v="solution_{20-05-05}_{06-10}_03_localRefinement_20250901T001114521"/>
        <s v="solution_{20-05-05}_{06-10}_04_localRefinement_20250901T011132941"/>
        <s v="solution_{20-05-05}_{06-10}_05_localRefinement_20250901T011201266"/>
        <s v="solution_{12-00-06}_{06-06}_01_decomposedRandom_20250904T002509583"/>
        <s v="solution_{12-00-06}_{06-06}_02_decomposedRandom_20250904T002509583"/>
        <s v="solution_{12-00-06}_{06-06}_01_localRefinement_20250904T002525250"/>
        <s v="solution_{12-00-06}_{06-06}_02_localRefinement_20250904T002525250"/>
        <s v="solution_{12-00-06}_{06-06}_03_decomposedRandom_20250904T012510656"/>
        <s v="solution_{12-00-06}_{06-06}_04_decomposedRandom_20250904T012510707"/>
        <s v="solution_{12-00-06}_{06-06}_03_localRefinement_20250904T012526475"/>
        <s v="solution_{12-00-06}_{06-06}_04_localRefinement_20250904T012526857"/>
        <s v="solution_{12-00-06}_{06-06}_05_decomposedRandom_20250904T022511003"/>
        <s v="solution_{16-00-08}_{06-08}_01_decomposedRandom_20250904T022511515"/>
        <s v="solution_{12-00-06}_{06-06}_05_localRefinement_20250904T022527768"/>
        <s v="solution_{16-00-08}_{06-08}_01_localRefinement_20250904T022527994"/>
        <s v="solution_{16-00-08}_{06-08}_02_decomposedRandom_20250904T032511377"/>
        <s v="solution_{16-00-08}_{06-08}_03_decomposedRandom_20250904T032511795"/>
        <s v="solution_{16-00-08}_{06-08}_02_localRefinement_20250904T032528903"/>
        <s v="solution_{16-00-08}_{06-08}_03_localRefinement_20250904T032530084"/>
        <s v="solution_{16-00-08}_{06-08}_04_decomposedRandom_20250904T042511571"/>
        <s v="solution_{16-00-08}_{06-08}_05_decomposedRandom_20250904T042512168"/>
        <s v="solution_{16-00-08}_{06-08}_04_localRefinement_20250904T042531387"/>
        <s v="solution_{16-00-08}_{06-08}_05_localRefinement_20250904T042532056"/>
        <s v="solution_{20-00-10}_{06-10}_01_decomposedRandom_20250904T052511916"/>
        <s v="solution_{20-00-10}_{06-10}_02_decomposedRandom_20250904T052513188"/>
        <s v="solution_{20-00-10}_{06-10}_01_localRefinement_20250904T052533320"/>
        <s v="solution_{20-00-10}_{06-10}_02_localRefinement_20250904T052534320"/>
        <s v="solution_{20-00-10}_{06-10}_03_decomposedRandom_20250904T062512574"/>
        <s v="solution_{20-00-10}_{06-10}_04_decomposedRandom_20250904T062513861"/>
        <s v="solution_{20-00-10}_{06-10}_03_localRefinement_20250904T062537000"/>
        <s v="solution_{20-00-10}_{06-10}_04_localRefinement_20250904T062537984"/>
        <s v="solution_{20-00-10}_{06-10}_05_decomposedRandom_20250904T072512810"/>
        <s v="solution_{20-00-10}_{06-10}_05_localRefinement_20250904T072540368"/>
        <s v="solution_{12-00-06}_{06-06}_01_decomposedNeighborhoodSearch_20250904T234629100"/>
        <s v="solution_{12-00-06}_{06-06}_02_decomposedNeighborhoodSearch_20250904T234722020"/>
        <s v="solution_{12-00-06}_{06-06}_03_decomposedNeighborhoodSearch_20250904T234753495"/>
        <s v="solution_{12-00-06}_{06-06}_04_decomposedNeighborhoodSearch_20250905T000422735"/>
        <s v="solution_{12-00-06}_{06-06}_05_decomposedNeighborhoodSearch_20250905T003458823"/>
        <s v="solution_{16-00-08}_{06-08}_01_decomposedNeighborhoodSearch_20250905T003459321"/>
        <s v="solution_{16-00-08}_{06-08}_02_decomposedNeighborhoodSearch_20250905T003459769"/>
        <s v="solution_{16-00-08}_{06-08}_03_decomposedNeighborhoodSearch_20250905T003712550"/>
        <s v="solution_{16-00-08}_{06-08}_04_decomposedNeighborhoodSearch_20250905T004629779"/>
        <s v="solution_{16-00-08}_{06-08}_05_decomposedNeighborhoodSearch_20250905T004722186"/>
        <s v="solution_{20-00-10}_{06-10}_01_decomposedNeighborhoodSearch_20250905T004754196"/>
        <s v="solution_{20-00-10}_{06-10}_02_decomposedNeighborhoodSearch_20250905T010423678"/>
        <s v="solution_{20-00-10}_{06-10}_03_decomposedNeighborhoodSearch_20250905T013459018"/>
        <s v="solution_{20-00-10}_{06-10}_04_decomposedNeighborhoodSearch_20250905T013459414"/>
        <s v="solution_{20-00-10}_{06-10}_05_decomposedNeighborhoodSearch_20250905T013459920"/>
        <s v="solution_{14-00-07}_{06-07}_01_decomposedNeighborhoodSearch_20251018T123557830"/>
        <s v="solution_{14-00-07}_{06-07}_02_decomposedNeighborhoodSearch_20251018T123557830"/>
        <s v="solution_{14-00-07}_{06-07}_03_decomposedNeighborhoodSearch_20251018T123557830"/>
        <s v="solution_{14-00-07}_{06-07}_04_decomposedNeighborhoodSearch_20251018T123557830"/>
        <s v="solution_{14-00-07}_{06-07}_05_decomposedNeighborhoodSearch_20251018T123557830"/>
        <s v="solution_{14-00-07}_{06-07}_01_decomposedRandom_20251018T123823522"/>
        <s v="solution_{14-00-07}_{06-07}_02_decomposedRandom_20251018T123823522"/>
        <s v="solution_{14-00-07}_{06-07}_04_decomposedRandom_20251018T123823522"/>
        <s v="solution_{14-00-07}_{06-07}_03_decomposedRandom_20251018T123823523"/>
        <s v="solution_{18-00-09}_{06-09}_01_decomposedNeighborhoodSearch_20251018T133558202"/>
        <s v="solution_{18-00-09}_{06-09}_02_decomposedNeighborhoodSearch_20251018T133558374"/>
        <s v="solution_{18-00-09}_{06-09}_03_decomposedNeighborhoodSearch_20251018T133558421"/>
        <s v="solution_{18-00-09}_{06-09}_04_decomposedNeighborhoodSearch_20251018T133558459"/>
        <s v="solution_{18-00-09}_{06-09}_05_decomposedNeighborhoodSearch_20251018T133558629"/>
        <s v="solution_{14-00-07}_{06-07}_05_decomposedRandom_20251018T133824091"/>
        <s v="solution_{18-00-09}_{06-09}_01_decomposedRandom_20251018T133824754"/>
        <s v="solution_{18-00-09}_{06-09}_02_decomposedRandom_20251018T133824800"/>
        <s v="solution_{18-00-09}_{06-09}_03_decomposedRandom_20251018T133824803"/>
        <s v="solution_{18-00-09}_{06-09}_04_decomposedRandom_20251018T143824339"/>
        <s v="solution_{18-00-09}_{06-09}_05_decomposedRandom_20251018T143825141"/>
        <s v="solution_{14-00-07}_{06-07}_01_localRefinement_20251018T155117454"/>
        <s v="solution_{14-00-07}_{06-07}_02_localRefinement_20251018T155117454"/>
        <s v="solution_{14-00-07}_{06-07}_03_localRefinement_20251018T165118945"/>
        <s v="solution_{14-00-07}_{06-07}_04_localRefinement_20251018T165119280"/>
        <s v="solution_{14-00-07}_{06-07}_05_localRefinement_20251018T175120499"/>
        <s v="solution_{18-00-09}_{06-09}_01_localRefinement_20251018T175120749"/>
        <s v="solution_{18-00-09}_{06-09}_02_localRefinement_20251018T185121900"/>
        <s v="solution_{18-00-09}_{06-09}_03_localRefinement_20251018T185123476"/>
        <s v="solution_{18-00-09}_{06-09}_04_localRefinement_20251018T195124707"/>
        <s v="solution_{18-00-09}_{06-09}_05_localRefinement_20251018T195126155"/>
      </sharedItems>
    </cacheField>
    <cacheField name="ships" numFmtId="0">
      <sharedItems count="15">
        <s v="02-00-01"/>
        <s v="04-00-02"/>
        <s v="06-00-03"/>
        <s v="08-00-04"/>
        <s v="10-00-05"/>
        <s v="04-01-01"/>
        <s v="12-03-03"/>
        <s v="16-04-04"/>
        <s v="08-02-02"/>
        <s v="20-05-05"/>
        <s v="12-00-06"/>
        <s v="16-00-08"/>
        <s v="20-00-10"/>
        <s v="14-00-07"/>
        <s v="18-00-09"/>
      </sharedItems>
    </cacheField>
    <cacheField name="yard" numFmtId="0">
      <sharedItems count="10">
        <s v="06-01"/>
        <s v="06-02"/>
        <s v="06-03"/>
        <s v="06-04"/>
        <s v="06-05"/>
        <s v="06-06"/>
        <s v="06-08"/>
        <s v="06-10"/>
        <s v="06-07"/>
        <s v="06-09"/>
      </sharedItems>
    </cacheField>
    <cacheField name="see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olver" numFmtId="0">
      <sharedItems count="4">
        <s v="decomposedNeighborhoodSearch"/>
        <s v="cplexIntegrated"/>
        <s v="decomposedRandom"/>
        <s v="localRefinement"/>
      </sharedItems>
    </cacheField>
    <cacheField name="testTime" numFmtId="0">
      <sharedItems/>
    </cacheField>
    <cacheField name="objCongestion" numFmtId="0">
      <sharedItems containsSemiMixedTypes="0" containsString="0" containsNumber="1" containsInteger="1" minValue="0" maxValue="500"/>
    </cacheField>
    <cacheField name="solverName" numFmtId="0">
      <sharedItems/>
    </cacheField>
    <cacheField name="obj" numFmtId="0">
      <sharedItems containsSemiMixedTypes="0" containsString="0" containsNumber="1" minValue="1.3297937619041584" maxValue="3871.6275880056887"/>
    </cacheField>
    <cacheField name="solverStartTime" numFmtId="0">
      <sharedItems/>
    </cacheField>
    <cacheField name="gap" numFmtId="0">
      <sharedItems containsSemiMixedTypes="0" containsString="0" containsNumber="1" minValue="0" maxValue="0.99801983287515117"/>
    </cacheField>
    <cacheField name="objTime" numFmtId="0">
      <sharedItems containsSemiMixedTypes="0" containsString="0" containsNumber="1" minValue="0" maxValue="3677.0962419227162"/>
    </cacheField>
    <cacheField name="time" numFmtId="0">
      <sharedItems containsSemiMixedTypes="0" containsString="0" containsNumber="1" minValue="0.90700000000000003" maxValue="3726.3240000000001"/>
    </cacheField>
    <cacheField name="objRoute" numFmtId="0">
      <sharedItems containsSemiMixedTypes="0" containsString="0" containsNumber="1" minValue="1.3297937619041584" maxValue="1760.1805558624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yu" refreshedDate="45987.97049363426" createdVersion="7" refreshedVersion="7" minRefreshableVersion="3" recordCount="75" xr:uid="{F40E0A12-6EC7-4565-94C2-8D120E9A06B3}">
  <cacheSource type="worksheet">
    <worksheetSource ref="A1:L76" sheet="all results"/>
  </cacheSource>
  <cacheFields count="12">
    <cacheField name="instance type" numFmtId="0">
      <sharedItems count="2">
        <s v="simple"/>
        <s v="hard"/>
      </sharedItems>
    </cacheField>
    <cacheField name="Instance id" numFmtId="0">
      <sharedItems/>
    </cacheField>
    <cacheField name="vessels" numFmtId="0">
      <sharedItems containsSemiMixedTypes="0" containsString="0" containsNumber="1" containsInteger="1" minValue="3" maxValue="30" count="10">
        <n v="3"/>
        <n v="6"/>
        <n v="9"/>
        <n v="12"/>
        <n v="15"/>
        <n v="18"/>
        <n v="21"/>
        <n v="24"/>
        <n v="27"/>
        <n v="30"/>
      </sharedItems>
    </cacheField>
    <cacheField name="subblocks" numFmtId="0">
      <sharedItems containsSemiMixedTypes="0" containsString="0" containsNumber="1" containsInteger="1" minValue="20" maxValue="200"/>
    </cacheField>
    <cacheField name="seed" numFmtId="0">
      <sharedItems containsSemiMixedTypes="0" containsString="0" containsNumber="1" containsInteger="1" minValue="1" maxValue="5"/>
    </cacheField>
    <cacheField name="LB" numFmtId="0">
      <sharedItems containsString="0" containsBlank="1" containsNumber="1" minValue="2.3319999999999999" maxValue="390.29390000000001"/>
    </cacheField>
    <cacheField name="CPLEX" numFmtId="0">
      <sharedItems containsString="0" containsBlank="1" containsNumber="1" minValue="2.3320333963418576" maxValue="3871.6275880056887"/>
    </cacheField>
    <cacheField name="FCFS" numFmtId="0">
      <sharedItems containsSemiMixedTypes="0" containsString="0" containsNumber="1" minValue="2.3320333999999998" maxValue="2628.27781671"/>
    </cacheField>
    <cacheField name="CETSA" numFmtId="0">
      <sharedItems containsSemiMixedTypes="0" containsString="0" containsNumber="1" minValue="2.3320333963418576" maxValue="2530.4166491521605"/>
    </cacheField>
    <cacheField name="CPLEX/FCFS" numFmtId="0">
      <sharedItems containsSemiMixedTypes="0" containsString="0" containsNumber="1" minValue="2.3320333963418576" maxValue="2628.27781671"/>
    </cacheField>
    <cacheField name="CSNS" numFmtId="0">
      <sharedItems containsSemiMixedTypes="0" containsString="0" containsNumber="1" minValue="2.3320333963418576" maxValue="2628.2778167134284"/>
    </cacheField>
    <cacheField name="TSA" numFmtId="0">
      <sharedItems containsSemiMixedTypes="0" containsString="0" containsNumber="1" minValue="2.3320333963418576" maxValue="2624.2877471526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3">
  <r>
    <x v="0"/>
    <x v="0"/>
    <x v="0"/>
    <x v="0"/>
    <x v="0"/>
    <s v="20250709T174527104"/>
    <n v="0"/>
    <s v="decomposedNeighborhoodSearch"/>
    <n v="16.918120957822438"/>
    <s v="20250709 17:45:27"/>
    <n v="0"/>
    <n v="13.65585150405872"/>
    <n v="848.81100000000004"/>
    <n v="3.2622694537637185"/>
  </r>
  <r>
    <x v="1"/>
    <x v="0"/>
    <x v="0"/>
    <x v="1"/>
    <x v="0"/>
    <s v="20250709T174527104"/>
    <n v="0"/>
    <s v="decomposedNeighborhoodSearch"/>
    <n v="18.987250064393521"/>
    <s v="20250709 17:45:27"/>
    <n v="0"/>
    <n v="15.191026988511776"/>
    <n v="1492.6"/>
    <n v="3.7962230758817452"/>
  </r>
  <r>
    <x v="2"/>
    <x v="0"/>
    <x v="0"/>
    <x v="2"/>
    <x v="0"/>
    <s v="20250709T174527104"/>
    <n v="0"/>
    <s v="decomposedNeighborhoodSearch"/>
    <n v="1.3297937619041584"/>
    <s v="20250709 17:45:27"/>
    <n v="0"/>
    <n v="0"/>
    <n v="305.64999999999998"/>
    <n v="1.3297937619041584"/>
  </r>
  <r>
    <x v="3"/>
    <x v="0"/>
    <x v="0"/>
    <x v="3"/>
    <x v="0"/>
    <s v="20250709T174527104"/>
    <n v="0"/>
    <s v="decomposedNeighborhoodSearch"/>
    <n v="2.3105343292147222"/>
    <s v="20250709 17:45:27"/>
    <n v="0"/>
    <n v="0"/>
    <n v="338.07"/>
    <n v="2.3105343292147222"/>
  </r>
  <r>
    <x v="4"/>
    <x v="0"/>
    <x v="0"/>
    <x v="4"/>
    <x v="0"/>
    <s v="20250709T174527104"/>
    <n v="0"/>
    <s v="decomposedNeighborhoodSearch"/>
    <n v="2.5877124926957351"/>
    <s v="20250709 17:45:27"/>
    <n v="0"/>
    <n v="0"/>
    <n v="261.59800000000001"/>
    <n v="2.5877124926957351"/>
  </r>
  <r>
    <x v="5"/>
    <x v="1"/>
    <x v="1"/>
    <x v="0"/>
    <x v="0"/>
    <s v="20250709T174527104"/>
    <n v="0"/>
    <s v="decomposedNeighborhoodSearch"/>
    <n v="29.582346018554247"/>
    <s v="20250709 17:45:27"/>
    <n v="0"/>
    <n v="15.017573519538377"/>
    <n v="3600.4830000000002"/>
    <n v="14.56477249901587"/>
  </r>
  <r>
    <x v="6"/>
    <x v="1"/>
    <x v="1"/>
    <x v="1"/>
    <x v="0"/>
    <s v="20250709T174527104"/>
    <n v="0"/>
    <s v="decomposedNeighborhoodSearch"/>
    <n v="47.260956908394022"/>
    <s v="20250709 17:45:27"/>
    <n v="0"/>
    <n v="31.323137896476709"/>
    <n v="3600.873"/>
    <n v="15.937819011917313"/>
  </r>
  <r>
    <x v="7"/>
    <x v="1"/>
    <x v="1"/>
    <x v="2"/>
    <x v="0"/>
    <s v="20250709T174527104"/>
    <n v="0"/>
    <s v="decomposedNeighborhoodSearch"/>
    <n v="13.41389757073101"/>
    <s v="20250709 17:45:27"/>
    <n v="0"/>
    <n v="0"/>
    <n v="3600.4679999999998"/>
    <n v="13.41389757073101"/>
  </r>
  <r>
    <x v="8"/>
    <x v="1"/>
    <x v="1"/>
    <x v="3"/>
    <x v="0"/>
    <s v="20250709T174527104"/>
    <n v="0"/>
    <s v="decomposedNeighborhoodSearch"/>
    <n v="11.944114975004219"/>
    <s v="20250709 17:45:27"/>
    <n v="0"/>
    <n v="0"/>
    <n v="3600.6320000000001"/>
    <n v="11.944114975004219"/>
  </r>
  <r>
    <x v="9"/>
    <x v="1"/>
    <x v="1"/>
    <x v="4"/>
    <x v="0"/>
    <s v="20250709T174527104"/>
    <n v="0"/>
    <s v="decomposedNeighborhoodSearch"/>
    <n v="25.130743874916369"/>
    <s v="20250709 17:45:27"/>
    <n v="0"/>
    <n v="12.047395139822598"/>
    <n v="3600.4580000000001"/>
    <n v="13.083348735093772"/>
  </r>
  <r>
    <x v="10"/>
    <x v="2"/>
    <x v="2"/>
    <x v="0"/>
    <x v="0"/>
    <s v="20250709T174527104"/>
    <n v="0"/>
    <s v="decomposedNeighborhoodSearch"/>
    <n v="70.498930389086652"/>
    <s v="20250709 17:45:27"/>
    <n v="0"/>
    <n v="40.389726054717919"/>
    <n v="3600.6570000000002"/>
    <n v="30.10920433436873"/>
  </r>
  <r>
    <x v="11"/>
    <x v="2"/>
    <x v="2"/>
    <x v="1"/>
    <x v="0"/>
    <s v="20250709T174527104"/>
    <n v="0"/>
    <s v="decomposedNeighborhoodSearch"/>
    <n v="71.146096391558302"/>
    <s v="20250709 17:45:27"/>
    <n v="0"/>
    <n v="42.841356264415822"/>
    <n v="3600.4780000000001"/>
    <n v="28.304740127142484"/>
  </r>
  <r>
    <x v="12"/>
    <x v="2"/>
    <x v="2"/>
    <x v="2"/>
    <x v="0"/>
    <s v="20250709T174527104"/>
    <n v="0"/>
    <s v="decomposedNeighborhoodSearch"/>
    <n v="69.702587327441449"/>
    <s v="20250709 17:45:27"/>
    <n v="0"/>
    <n v="36.206699411053116"/>
    <n v="3601.3440000000001"/>
    <n v="33.495887916388327"/>
  </r>
  <r>
    <x v="13"/>
    <x v="2"/>
    <x v="2"/>
    <x v="3"/>
    <x v="0"/>
    <s v="20250709T174527104"/>
    <n v="0"/>
    <s v="decomposedNeighborhoodSearch"/>
    <n v="84.784004235869688"/>
    <s v="20250709 17:45:27"/>
    <n v="0"/>
    <n v="55.074124649631173"/>
    <n v="3600.9549999999999"/>
    <n v="29.709879586238518"/>
  </r>
  <r>
    <x v="14"/>
    <x v="2"/>
    <x v="2"/>
    <x v="4"/>
    <x v="0"/>
    <s v="20250709T174527104"/>
    <n v="0"/>
    <s v="decomposedNeighborhoodSearch"/>
    <n v="57.69089677677006"/>
    <s v="20250709 17:45:27"/>
    <n v="0"/>
    <n v="27.415363976010688"/>
    <n v="3600.5650000000001"/>
    <n v="30.275532800759375"/>
  </r>
  <r>
    <x v="15"/>
    <x v="3"/>
    <x v="3"/>
    <x v="0"/>
    <x v="0"/>
    <s v="20250709T174527104"/>
    <n v="0"/>
    <s v="decomposedNeighborhoodSearch"/>
    <n v="110.85459203901021"/>
    <s v="20250709 17:45:27"/>
    <n v="0"/>
    <n v="66.1912842193872"/>
    <n v="3601.32"/>
    <n v="44.663307819623014"/>
  </r>
  <r>
    <x v="16"/>
    <x v="3"/>
    <x v="3"/>
    <x v="1"/>
    <x v="0"/>
    <s v="20250709T174527104"/>
    <n v="0"/>
    <s v="decomposedNeighborhoodSearch"/>
    <n v="100.30773807675601"/>
    <s v="20250709 17:45:27"/>
    <n v="0"/>
    <n v="57.012203558533344"/>
    <n v="3600.6819999999998"/>
    <n v="43.295534518222674"/>
  </r>
  <r>
    <x v="17"/>
    <x v="3"/>
    <x v="3"/>
    <x v="2"/>
    <x v="0"/>
    <s v="20250709T174527104"/>
    <n v="0"/>
    <s v="decomposedNeighborhoodSearch"/>
    <n v="78.245554979230207"/>
    <s v="20250709 17:45:27"/>
    <n v="0"/>
    <n v="35.396749590623038"/>
    <n v="3601.335"/>
    <n v="42.848805388607161"/>
  </r>
  <r>
    <x v="18"/>
    <x v="3"/>
    <x v="3"/>
    <x v="3"/>
    <x v="0"/>
    <s v="20250709T174527104"/>
    <n v="0"/>
    <s v="decomposedNeighborhoodSearch"/>
    <n v="93.919376436714018"/>
    <s v="20250709 17:45:27"/>
    <n v="0"/>
    <n v="52.188380992556034"/>
    <n v="3600.683"/>
    <n v="41.730995444157983"/>
  </r>
  <r>
    <x v="19"/>
    <x v="3"/>
    <x v="3"/>
    <x v="4"/>
    <x v="0"/>
    <s v="20250709T174948716"/>
    <n v="0"/>
    <s v="decomposedNeighborhoodSearch"/>
    <n v="75.01597542480863"/>
    <s v="20250709 17:49:48"/>
    <n v="0"/>
    <n v="35.872290738923667"/>
    <n v="3600.0729999999999"/>
    <n v="39.143684685884971"/>
  </r>
  <r>
    <x v="20"/>
    <x v="4"/>
    <x v="4"/>
    <x v="0"/>
    <x v="0"/>
    <s v="20250709T175032776"/>
    <n v="0"/>
    <s v="decomposedNeighborhoodSearch"/>
    <n v="106.77069794663919"/>
    <s v="20250709 17:50:32"/>
    <n v="0"/>
    <n v="48.20585769588962"/>
    <n v="3601.0279999999998"/>
    <n v="58.564840250749562"/>
  </r>
  <r>
    <x v="21"/>
    <x v="4"/>
    <x v="4"/>
    <x v="1"/>
    <x v="0"/>
    <s v="20250709T175105176"/>
    <n v="0"/>
    <s v="decomposedNeighborhoodSearch"/>
    <n v="114.42762641881706"/>
    <s v="20250709 17:51:05"/>
    <n v="0"/>
    <n v="54.248631778481339"/>
    <n v="3600.672"/>
    <n v="60.178994640335709"/>
  </r>
  <r>
    <x v="22"/>
    <x v="4"/>
    <x v="4"/>
    <x v="2"/>
    <x v="0"/>
    <s v="20250709T175935921"/>
    <n v="0"/>
    <s v="decomposedNeighborhoodSearch"/>
    <n v="127.98365401957767"/>
    <s v="20250709 17:59:35"/>
    <n v="0"/>
    <n v="69.38257040205454"/>
    <n v="3600.7310000000002"/>
    <n v="58.60108361752313"/>
  </r>
  <r>
    <x v="23"/>
    <x v="4"/>
    <x v="4"/>
    <x v="3"/>
    <x v="0"/>
    <s v="20250709T181019707"/>
    <n v="0"/>
    <s v="decomposedNeighborhoodSearch"/>
    <n v="103.87561486562967"/>
    <s v="20250709 18:10:19"/>
    <n v="0"/>
    <n v="37.311376410122847"/>
    <n v="3601.0030000000002"/>
    <n v="66.564238455506825"/>
  </r>
  <r>
    <x v="24"/>
    <x v="4"/>
    <x v="4"/>
    <x v="4"/>
    <x v="0"/>
    <s v="20250709T184527564"/>
    <n v="0"/>
    <s v="decomposedNeighborhoodSearch"/>
    <n v="100.7450983018027"/>
    <s v="20250709 18:45:27"/>
    <n v="0"/>
    <n v="51.098342747962583"/>
    <n v="3600.6660000000002"/>
    <n v="49.646755553840116"/>
  </r>
  <r>
    <x v="25"/>
    <x v="0"/>
    <x v="0"/>
    <x v="0"/>
    <x v="1"/>
    <s v="20250709T185734723"/>
    <n v="0"/>
    <s v="cplexIntegrated"/>
    <n v="16.901020957822439"/>
    <s v="20250709 18:57:34"/>
    <n v="0"/>
    <n v="13.65585150405872"/>
    <n v="3.7250000000000001"/>
    <n v="3.2451694537637183"/>
  </r>
  <r>
    <x v="26"/>
    <x v="0"/>
    <x v="0"/>
    <x v="1"/>
    <x v="1"/>
    <s v="20250709T185734723"/>
    <n v="0"/>
    <s v="cplexIntegrated"/>
    <n v="18.971950064393521"/>
    <s v="20250709 18:57:34"/>
    <n v="0"/>
    <n v="15.191026988511776"/>
    <n v="4.343"/>
    <n v="3.7809230758817454"/>
  </r>
  <r>
    <x v="27"/>
    <x v="0"/>
    <x v="0"/>
    <x v="2"/>
    <x v="1"/>
    <s v="20250709T185734723"/>
    <n v="0"/>
    <s v="cplexIntegrated"/>
    <n v="1.3297937619041584"/>
    <s v="20250709 18:57:34"/>
    <n v="0"/>
    <n v="0"/>
    <n v="1.7829999999999999"/>
    <n v="1.3297937619041584"/>
  </r>
  <r>
    <x v="28"/>
    <x v="0"/>
    <x v="0"/>
    <x v="3"/>
    <x v="1"/>
    <s v="20250709T185734723"/>
    <n v="0"/>
    <s v="cplexIntegrated"/>
    <n v="2.3105343292147218"/>
    <s v="20250709 18:57:34"/>
    <n v="0"/>
    <n v="0"/>
    <n v="3.6419999999999999"/>
    <n v="2.3105343292147218"/>
  </r>
  <r>
    <x v="29"/>
    <x v="0"/>
    <x v="0"/>
    <x v="4"/>
    <x v="1"/>
    <s v="20250709T185734723"/>
    <n v="0"/>
    <s v="cplexIntegrated"/>
    <n v="2.5877124926957351"/>
    <s v="20250709 18:57:34"/>
    <n v="0"/>
    <n v="0"/>
    <n v="3.5009999999999999"/>
    <n v="2.5877124926957351"/>
  </r>
  <r>
    <x v="30"/>
    <x v="1"/>
    <x v="1"/>
    <x v="0"/>
    <x v="1"/>
    <s v="20250709T185734723"/>
    <n v="0"/>
    <s v="cplexIntegrated"/>
    <n v="29.428926708468712"/>
    <s v="20250709 18:57:34"/>
    <n v="1.8184165194055294E-3"/>
    <n v="15.017573519538377"/>
    <n v="3603.3409999999999"/>
    <n v="14.411353188930335"/>
  </r>
  <r>
    <x v="31"/>
    <x v="1"/>
    <x v="1"/>
    <x v="2"/>
    <x v="1"/>
    <s v="20250709T185734723"/>
    <n v="0"/>
    <s v="cplexIntegrated"/>
    <n v="13.336855783569272"/>
    <s v="20250709 18:57:34"/>
    <n v="5.5477281302950291E-5"/>
    <n v="0"/>
    <n v="85.418999999999997"/>
    <n v="13.336855783569272"/>
  </r>
  <r>
    <x v="32"/>
    <x v="1"/>
    <x v="1"/>
    <x v="3"/>
    <x v="1"/>
    <s v="20250709T185734723"/>
    <n v="0"/>
    <s v="cplexIntegrated"/>
    <n v="11.737938493287286"/>
    <s v="20250709 18:57:34"/>
    <n v="5.7864463428212651E-4"/>
    <n v="0"/>
    <n v="3603.509"/>
    <n v="11.737938493287286"/>
  </r>
  <r>
    <x v="33"/>
    <x v="1"/>
    <x v="1"/>
    <x v="4"/>
    <x v="1"/>
    <s v="20250709T185734723"/>
    <n v="0"/>
    <s v="cplexIntegrated"/>
    <n v="24.960679959408971"/>
    <s v="20250709 18:57:34"/>
    <n v="1.2038555937128009E-3"/>
    <n v="12.047395139822598"/>
    <n v="3603.5390000000002"/>
    <n v="12.913284819586375"/>
  </r>
  <r>
    <x v="34"/>
    <x v="2"/>
    <x v="2"/>
    <x v="0"/>
    <x v="1"/>
    <s v="20250709T185734723"/>
    <n v="0"/>
    <s v="cplexIntegrated"/>
    <n v="757.7782854916203"/>
    <s v="20250709 18:57:34"/>
    <n v="0.95749680591417496"/>
    <n v="723.10016504999624"/>
    <n v="3605.998"/>
    <n v="34.678120441624024"/>
  </r>
  <r>
    <x v="35"/>
    <x v="2"/>
    <x v="2"/>
    <x v="1"/>
    <x v="1"/>
    <s v="20250709T185734723"/>
    <n v="0"/>
    <s v="cplexIntegrated"/>
    <n v="75.706992643847457"/>
    <s v="20250709 18:57:34"/>
    <n v="0.46670681407877579"/>
    <n v="47.772713603298442"/>
    <n v="3606.181"/>
    <n v="27.934279040549022"/>
  </r>
  <r>
    <x v="36"/>
    <x v="2"/>
    <x v="2"/>
    <x v="2"/>
    <x v="1"/>
    <s v="20250709T185734723"/>
    <n v="0"/>
    <s v="cplexIntegrated"/>
    <n v="196.28164069189077"/>
    <s v="20250709 18:57:34"/>
    <n v="0.82793840369988114"/>
    <n v="162.61821908054577"/>
    <n v="3606.134"/>
    <n v="33.663421611345008"/>
  </r>
  <r>
    <x v="37"/>
    <x v="2"/>
    <x v="2"/>
    <x v="3"/>
    <x v="1"/>
    <s v="20250709T185734723"/>
    <n v="0"/>
    <s v="cplexIntegrated"/>
    <n v="102.27372785179959"/>
    <s v="20250709 18:57:34"/>
    <n v="0.45966025549235789"/>
    <n v="72.907119668963247"/>
    <n v="3606.33"/>
    <n v="29.366608182836345"/>
  </r>
  <r>
    <x v="38"/>
    <x v="2"/>
    <x v="2"/>
    <x v="4"/>
    <x v="1"/>
    <s v="20250709T185734723"/>
    <n v="0"/>
    <s v="cplexIntegrated"/>
    <n v="76.639957876279084"/>
    <s v="20250709 18:57:34"/>
    <n v="0.44796346960603667"/>
    <n v="47.078646129277914"/>
    <n v="3606.1909999999998"/>
    <n v="29.561311747001177"/>
  </r>
  <r>
    <x v="39"/>
    <x v="3"/>
    <x v="3"/>
    <x v="0"/>
    <x v="1"/>
    <s v="20250709T185734723"/>
    <n v="40"/>
    <s v="cplexIntegrated"/>
    <n v="1268.3125823919468"/>
    <s v="20250709 18:57:34"/>
    <n v="0.99794449721187872"/>
    <n v="1170.0818856875594"/>
    <n v="3612.2449999999999"/>
    <n v="58.23069670438732"/>
  </r>
  <r>
    <x v="40"/>
    <x v="3"/>
    <x v="3"/>
    <x v="1"/>
    <x v="1"/>
    <s v="20250709T185734723"/>
    <n v="0"/>
    <s v="cplexIntegrated"/>
    <n v="115.34071958266748"/>
    <s v="20250709 18:57:34"/>
    <n v="0.63448534419780356"/>
    <n v="73.314334480553725"/>
    <n v="3611.5259999999998"/>
    <n v="42.02638510211375"/>
  </r>
  <r>
    <x v="41"/>
    <x v="3"/>
    <x v="3"/>
    <x v="2"/>
    <x v="1"/>
    <s v="20250709T185734723"/>
    <n v="60"/>
    <s v="cplexIntegrated"/>
    <n v="1548.781356830011"/>
    <s v="20250709 18:57:34"/>
    <n v="0.99792757334519766"/>
    <n v="1431.3226067907387"/>
    <n v="3611.6120000000001"/>
    <n v="57.458750039272132"/>
  </r>
  <r>
    <x v="42"/>
    <x v="3"/>
    <x v="3"/>
    <x v="3"/>
    <x v="1"/>
    <s v="20250709T185734723"/>
    <n v="40"/>
    <s v="cplexIntegrated"/>
    <n v="1580.1472917498529"/>
    <s v="20250709 18:57:34"/>
    <n v="0.99801983287515117"/>
    <n v="1484.1076452592388"/>
    <n v="3611.6819999999998"/>
    <n v="56.039646490614075"/>
  </r>
  <r>
    <x v="43"/>
    <x v="1"/>
    <x v="1"/>
    <x v="1"/>
    <x v="1"/>
    <s v="20250709T185734724"/>
    <n v="0"/>
    <s v="cplexIntegrated"/>
    <n v="42.172664407895383"/>
    <s v="20250709 18:57:34"/>
    <n v="2.033439065996589E-3"/>
    <n v="26.350507023312502"/>
    <n v="3607.5329999999999"/>
    <n v="15.822157384582878"/>
  </r>
  <r>
    <x v="44"/>
    <x v="3"/>
    <x v="3"/>
    <x v="4"/>
    <x v="1"/>
    <s v="20250709T185736559"/>
    <n v="0"/>
    <s v="cplexIntegrated"/>
    <n v="504.62473384891865"/>
    <s v="20250709 18:57:36"/>
    <n v="0.92287217877590733"/>
    <n v="458.08378888138839"/>
    <n v="3610.6129999999998"/>
    <n v="46.540944967530244"/>
  </r>
  <r>
    <x v="45"/>
    <x v="4"/>
    <x v="4"/>
    <x v="0"/>
    <x v="1"/>
    <s v="20250709T185738228"/>
    <n v="60"/>
    <s v="cplexIntegrated"/>
    <n v="1822.7275427168142"/>
    <s v="20250709 18:57:38"/>
    <n v="0.99774116117499767"/>
    <n v="1681.3144399291398"/>
    <n v="3621.5549999999998"/>
    <n v="81.413102787674362"/>
  </r>
  <r>
    <x v="46"/>
    <x v="4"/>
    <x v="4"/>
    <x v="1"/>
    <x v="1"/>
    <s v="20250709T185738368"/>
    <n v="100"/>
    <s v="cplexIntegrated"/>
    <n v="1893.2432221714862"/>
    <s v="20250709 18:57:38"/>
    <n v="0.99758227465057936"/>
    <n v="1706.5117908194466"/>
    <n v="3622.0709999999999"/>
    <n v="86.731431352039522"/>
  </r>
  <r>
    <x v="47"/>
    <x v="4"/>
    <x v="4"/>
    <x v="2"/>
    <x v="1"/>
    <s v="20250709T185738451"/>
    <n v="60"/>
    <s v="cplexIntegrated"/>
    <n v="1882.1420376180845"/>
    <s v="20250709 18:57:38"/>
    <n v="0.99781995524767553"/>
    <n v="1734.2464208667855"/>
    <n v="3621.8049999999998"/>
    <n v="87.895616751299002"/>
  </r>
  <r>
    <x v="48"/>
    <x v="4"/>
    <x v="4"/>
    <x v="3"/>
    <x v="1"/>
    <s v="20250709T185739068"/>
    <n v="80"/>
    <s v="cplexIntegrated"/>
    <n v="1993.3432992536229"/>
    <s v="20250709 18:57:39"/>
    <n v="0.99770378072572163"/>
    <n v="1818.2829175942006"/>
    <n v="3620.8679999999999"/>
    <n v="95.060381659422262"/>
  </r>
  <r>
    <x v="49"/>
    <x v="4"/>
    <x v="4"/>
    <x v="4"/>
    <x v="1"/>
    <s v="20250709T185900153"/>
    <n v="20"/>
    <s v="cplexIntegrated"/>
    <n v="1666.2102993345557"/>
    <s v="20250709 18:59:00"/>
    <n v="0.99797000304905359"/>
    <n v="1573.2108077243099"/>
    <n v="3622.5419999999999"/>
    <n v="72.999491610245755"/>
  </r>
  <r>
    <x v="50"/>
    <x v="5"/>
    <x v="1"/>
    <x v="1"/>
    <x v="0"/>
    <s v="20250710T010802957"/>
    <n v="0"/>
    <s v="decomposedNeighborhoodSearch"/>
    <n v="190.66778459501356"/>
    <s v="20250710 01:08:02"/>
    <n v="0"/>
    <n v="99.165112233264992"/>
    <n v="3600.835"/>
    <n v="91.502672361748566"/>
  </r>
  <r>
    <x v="51"/>
    <x v="5"/>
    <x v="1"/>
    <x v="2"/>
    <x v="0"/>
    <s v="20250710T010802957"/>
    <n v="0"/>
    <s v="decomposedNeighborhoodSearch"/>
    <n v="83.081482484209687"/>
    <s v="20250710 01:08:02"/>
    <n v="0"/>
    <n v="19.92851570238291"/>
    <n v="3600.9140000000002"/>
    <n v="63.152966781826777"/>
  </r>
  <r>
    <x v="52"/>
    <x v="5"/>
    <x v="1"/>
    <x v="3"/>
    <x v="0"/>
    <s v="20250710T010802957"/>
    <n v="0"/>
    <s v="decomposedNeighborhoodSearch"/>
    <n v="81.341055186417435"/>
    <s v="20250710 01:08:02"/>
    <n v="0"/>
    <n v="15.194663018418055"/>
    <n v="3602.65"/>
    <n v="66.14639216799938"/>
  </r>
  <r>
    <x v="53"/>
    <x v="5"/>
    <x v="1"/>
    <x v="4"/>
    <x v="0"/>
    <s v="20250710T010802957"/>
    <n v="0"/>
    <s v="decomposedNeighborhoodSearch"/>
    <n v="186.25800090717601"/>
    <s v="20250710 01:08:02"/>
    <n v="0"/>
    <n v="98.650424650320133"/>
    <n v="3600.83"/>
    <n v="87.607576256855879"/>
  </r>
  <r>
    <x v="54"/>
    <x v="6"/>
    <x v="5"/>
    <x v="1"/>
    <x v="0"/>
    <s v="20250710T010802957"/>
    <n v="40"/>
    <s v="decomposedNeighborhoodSearch"/>
    <n v="954.79702568051971"/>
    <s v="20250710 01:08:02"/>
    <n v="0"/>
    <n v="476.96247472434311"/>
    <n v="3601.9839999999999"/>
    <n v="437.8345509561766"/>
  </r>
  <r>
    <x v="55"/>
    <x v="6"/>
    <x v="5"/>
    <x v="2"/>
    <x v="0"/>
    <s v="20250710T010802957"/>
    <n v="20"/>
    <s v="decomposedNeighborhoodSearch"/>
    <n v="912.995963967845"/>
    <s v="20250710 01:08:02"/>
    <n v="0"/>
    <n v="459.55599734217566"/>
    <n v="3601.9569999999999"/>
    <n v="433.43996662566929"/>
  </r>
  <r>
    <x v="56"/>
    <x v="6"/>
    <x v="5"/>
    <x v="3"/>
    <x v="0"/>
    <s v="20250710T010802957"/>
    <n v="20"/>
    <s v="decomposedNeighborhoodSearch"/>
    <n v="794.34230744677393"/>
    <s v="20250710 01:08:02"/>
    <n v="0"/>
    <n v="346.36048803107798"/>
    <n v="3622.9659999999999"/>
    <n v="427.9818194156959"/>
  </r>
  <r>
    <x v="57"/>
    <x v="6"/>
    <x v="5"/>
    <x v="4"/>
    <x v="0"/>
    <s v="20250710T010802957"/>
    <n v="40"/>
    <s v="decomposedNeighborhoodSearch"/>
    <n v="871.34680996401505"/>
    <s v="20250710 01:08:02"/>
    <n v="0"/>
    <n v="409.20337439722755"/>
    <n v="3601.8690000000001"/>
    <n v="422.1434355667875"/>
  </r>
  <r>
    <x v="58"/>
    <x v="7"/>
    <x v="6"/>
    <x v="0"/>
    <x v="0"/>
    <s v="20250710T010802957"/>
    <n v="40"/>
    <s v="decomposedNeighborhoodSearch"/>
    <n v="1167.2397851761953"/>
    <s v="20250710 01:08:02"/>
    <n v="0"/>
    <n v="447.3418182121448"/>
    <n v="3602.2130000000002"/>
    <n v="679.8979669640504"/>
  </r>
  <r>
    <x v="59"/>
    <x v="7"/>
    <x v="6"/>
    <x v="1"/>
    <x v="0"/>
    <s v="20250710T010802957"/>
    <n v="40"/>
    <s v="decomposedNeighborhoodSearch"/>
    <n v="1333.162866668787"/>
    <s v="20250710 01:08:02"/>
    <n v="0"/>
    <n v="626.37180595914265"/>
    <n v="3602.203"/>
    <n v="666.7910607096444"/>
  </r>
  <r>
    <x v="60"/>
    <x v="7"/>
    <x v="6"/>
    <x v="2"/>
    <x v="0"/>
    <s v="20250710T010802957"/>
    <n v="40"/>
    <s v="decomposedNeighborhoodSearch"/>
    <n v="1211.9464923883738"/>
    <s v="20250710 01:08:02"/>
    <n v="0"/>
    <n v="478.29943171444819"/>
    <n v="3601.8850000000002"/>
    <n v="693.64706067392569"/>
  </r>
  <r>
    <x v="61"/>
    <x v="5"/>
    <x v="1"/>
    <x v="0"/>
    <x v="0"/>
    <s v="20250710T010802958"/>
    <n v="0"/>
    <s v="decomposedNeighborhoodSearch"/>
    <n v="217.34785800863037"/>
    <s v="20250710 01:08:02"/>
    <n v="0"/>
    <n v="135.40554355636641"/>
    <n v="3600.6550000000002"/>
    <n v="81.942314452263957"/>
  </r>
  <r>
    <x v="62"/>
    <x v="8"/>
    <x v="3"/>
    <x v="0"/>
    <x v="0"/>
    <s v="20250710T010802958"/>
    <n v="0"/>
    <s v="decomposedNeighborhoodSearch"/>
    <n v="402.04101861878769"/>
    <s v="20250710 01:08:02"/>
    <n v="0"/>
    <n v="166.06030599263664"/>
    <n v="3601.4259999999999"/>
    <n v="235.98071262615107"/>
  </r>
  <r>
    <x v="63"/>
    <x v="8"/>
    <x v="3"/>
    <x v="1"/>
    <x v="0"/>
    <s v="20250710T010802958"/>
    <n v="20"/>
    <s v="decomposedNeighborhoodSearch"/>
    <n v="563.76671403813191"/>
    <s v="20250710 01:08:02"/>
    <n v="0"/>
    <n v="292.06149858414142"/>
    <n v="3601.0830000000001"/>
    <n v="251.70521545399049"/>
  </r>
  <r>
    <x v="64"/>
    <x v="8"/>
    <x v="3"/>
    <x v="2"/>
    <x v="0"/>
    <s v="20250710T010802958"/>
    <n v="0"/>
    <s v="decomposedNeighborhoodSearch"/>
    <n v="397.88666428300138"/>
    <s v="20250710 01:08:02"/>
    <n v="0"/>
    <n v="181.96120260987703"/>
    <n v="3601.165"/>
    <n v="215.92546167312435"/>
  </r>
  <r>
    <x v="65"/>
    <x v="8"/>
    <x v="3"/>
    <x v="4"/>
    <x v="0"/>
    <s v="20250710T010802958"/>
    <n v="20"/>
    <s v="decomposedNeighborhoodSearch"/>
    <n v="531.84746283607137"/>
    <s v="20250710 01:08:02"/>
    <n v="0"/>
    <n v="275.7975989092896"/>
    <n v="3603.415"/>
    <n v="236.04986392678174"/>
  </r>
  <r>
    <x v="66"/>
    <x v="6"/>
    <x v="5"/>
    <x v="0"/>
    <x v="0"/>
    <s v="20250710T010802958"/>
    <n v="40"/>
    <s v="decomposedNeighborhoodSearch"/>
    <n v="853.72711116854975"/>
    <s v="20250710 01:08:02"/>
    <n v="0"/>
    <n v="360.91258820976583"/>
    <n v="3601.768"/>
    <n v="452.81452295878393"/>
  </r>
  <r>
    <x v="67"/>
    <x v="7"/>
    <x v="6"/>
    <x v="3"/>
    <x v="0"/>
    <s v="20250710T010802958"/>
    <n v="40"/>
    <s v="decomposedNeighborhoodSearch"/>
    <n v="1280.0558897037986"/>
    <s v="20250710 01:08:02"/>
    <n v="0"/>
    <n v="516.86320505539243"/>
    <n v="3602.489"/>
    <n v="723.19268464840604"/>
  </r>
  <r>
    <x v="68"/>
    <x v="7"/>
    <x v="6"/>
    <x v="4"/>
    <x v="0"/>
    <s v="20250710T010803829"/>
    <n v="40"/>
    <s v="decomposedNeighborhoodSearch"/>
    <n v="1522.8850298446728"/>
    <s v="20250710 01:08:03"/>
    <n v="0"/>
    <n v="805.77315693937271"/>
    <n v="3601.9380000000001"/>
    <n v="677.11187290529995"/>
  </r>
  <r>
    <x v="69"/>
    <x v="9"/>
    <x v="7"/>
    <x v="0"/>
    <x v="0"/>
    <s v="20250710T020803639"/>
    <n v="40"/>
    <s v="decomposedNeighborhoodSearch"/>
    <n v="1802.4961017311689"/>
    <s v="20250710 02:08:03"/>
    <n v="0"/>
    <n v="805.57021912308119"/>
    <n v="3623.0929999999998"/>
    <n v="956.9258826080877"/>
  </r>
  <r>
    <x v="70"/>
    <x v="9"/>
    <x v="7"/>
    <x v="1"/>
    <x v="0"/>
    <s v="20250710T020803791"/>
    <n v="40"/>
    <s v="decomposedNeighborhoodSearch"/>
    <n v="1857.8044009008752"/>
    <s v="20250710 02:08:03"/>
    <n v="0"/>
    <n v="804.25954652716109"/>
    <n v="3601.7359999999999"/>
    <n v="1013.5448543737141"/>
  </r>
  <r>
    <x v="71"/>
    <x v="9"/>
    <x v="7"/>
    <x v="2"/>
    <x v="0"/>
    <s v="20250710T020803796"/>
    <n v="40"/>
    <s v="decomposedNeighborhoodSearch"/>
    <n v="1788.4893812347814"/>
    <s v="20250710 02:08:03"/>
    <n v="0"/>
    <n v="777.41856101165877"/>
    <n v="3601.27"/>
    <n v="971.0708202231225"/>
  </r>
  <r>
    <x v="72"/>
    <x v="9"/>
    <x v="7"/>
    <x v="3"/>
    <x v="0"/>
    <s v="20250710T020803874"/>
    <n v="40"/>
    <s v="decomposedNeighborhoodSearch"/>
    <n v="1765.8259664797706"/>
    <s v="20250710 02:08:03"/>
    <n v="0"/>
    <n v="759.22053313871106"/>
    <n v="3601.3629999999998"/>
    <n v="966.60543334105944"/>
  </r>
  <r>
    <x v="73"/>
    <x v="9"/>
    <x v="7"/>
    <x v="4"/>
    <x v="0"/>
    <s v="20250710T020804101"/>
    <n v="40"/>
    <s v="decomposedNeighborhoodSearch"/>
    <n v="1788.72699739529"/>
    <s v="20250710 02:08:04"/>
    <n v="0"/>
    <n v="788.92946928274557"/>
    <n v="3601.2939999999999"/>
    <n v="959.79752811254446"/>
  </r>
  <r>
    <x v="74"/>
    <x v="5"/>
    <x v="1"/>
    <x v="0"/>
    <x v="1"/>
    <s v="20250710T140051246"/>
    <n v="120"/>
    <s v="cplexIntegrated"/>
    <n v="3705.2912475688354"/>
    <s v="20250710 14:00:51"/>
    <n v="0.99226272131806137"/>
    <n v="3491.8577629913616"/>
    <n v="3616.9960000000001"/>
    <n v="93.433484577473834"/>
  </r>
  <r>
    <x v="75"/>
    <x v="5"/>
    <x v="1"/>
    <x v="1"/>
    <x v="1"/>
    <s v="20250710T140051246"/>
    <n v="100"/>
    <s v="cplexIntegrated"/>
    <n v="3599.3782418120895"/>
    <s v="20250710 14:00:51"/>
    <n v="0.99161725140684864"/>
    <n v="3395.9431768648533"/>
    <n v="3617.0070000000001"/>
    <n v="103.43506494723606"/>
  </r>
  <r>
    <x v="76"/>
    <x v="5"/>
    <x v="1"/>
    <x v="2"/>
    <x v="1"/>
    <s v="20250710T140051246"/>
    <n v="120"/>
    <s v="cplexIntegrated"/>
    <n v="3638.8613822438501"/>
    <s v="20250710 14:00:51"/>
    <n v="0.99447874524696855"/>
    <n v="3445.2510416324444"/>
    <n v="3617.0129999999999"/>
    <n v="73.610340611405533"/>
  </r>
  <r>
    <x v="77"/>
    <x v="5"/>
    <x v="1"/>
    <x v="3"/>
    <x v="1"/>
    <s v="20250710T140051246"/>
    <n v="0"/>
    <s v="cplexIntegrated"/>
    <n v="98.110435041215368"/>
    <s v="20250710 14:00:51"/>
    <n v="0.27297166774421278"/>
    <n v="35.057807506015578"/>
    <n v="3617.0230000000001"/>
    <n v="63.052627535199797"/>
  </r>
  <r>
    <x v="78"/>
    <x v="5"/>
    <x v="1"/>
    <x v="4"/>
    <x v="1"/>
    <s v="20250710T140051246"/>
    <n v="80"/>
    <s v="cplexIntegrated"/>
    <n v="3464.9850503842135"/>
    <s v="20250710 14:00:51"/>
    <n v="0.99209159619626663"/>
    <n v="3284.9878792285463"/>
    <n v="3617.0010000000002"/>
    <n v="99.997171155667488"/>
  </r>
  <r>
    <x v="79"/>
    <x v="0"/>
    <x v="0"/>
    <x v="0"/>
    <x v="2"/>
    <s v="20250710T212328292"/>
    <n v="0"/>
    <s v="decomposedRandom"/>
    <n v="16.901020957822439"/>
    <s v="20250710 21:23:28"/>
    <n v="0"/>
    <n v="13.65585150405872"/>
    <n v="2169.6840000000002"/>
    <n v="3.2451694537637183"/>
  </r>
  <r>
    <x v="80"/>
    <x v="0"/>
    <x v="0"/>
    <x v="1"/>
    <x v="2"/>
    <s v="20250710T212328292"/>
    <n v="0"/>
    <s v="decomposedRandom"/>
    <n v="18.971950064393521"/>
    <s v="20250710 21:23:28"/>
    <n v="0"/>
    <n v="15.191026988511776"/>
    <n v="3600.3679999999999"/>
    <n v="3.7809230758817449"/>
  </r>
  <r>
    <x v="81"/>
    <x v="0"/>
    <x v="0"/>
    <x v="2"/>
    <x v="2"/>
    <s v="20250710T212328292"/>
    <n v="0"/>
    <s v="decomposedRandom"/>
    <n v="1.3297937619041584"/>
    <s v="20250710 21:23:28"/>
    <n v="0"/>
    <n v="0"/>
    <n v="1048.7159999999999"/>
    <n v="1.3297937619041584"/>
  </r>
  <r>
    <x v="82"/>
    <x v="0"/>
    <x v="0"/>
    <x v="3"/>
    <x v="2"/>
    <s v="20250710T212328292"/>
    <n v="0"/>
    <s v="decomposedRandom"/>
    <n v="2.3105343292147218"/>
    <s v="20250710 21:23:28"/>
    <n v="0"/>
    <n v="0"/>
    <n v="1853.307"/>
    <n v="2.3105343292147218"/>
  </r>
  <r>
    <x v="83"/>
    <x v="0"/>
    <x v="0"/>
    <x v="4"/>
    <x v="2"/>
    <s v="20250710T212328292"/>
    <n v="0"/>
    <s v="decomposedRandom"/>
    <n v="2.5877124926957356"/>
    <s v="20250710 21:23:28"/>
    <n v="0"/>
    <n v="0"/>
    <n v="2408.4850000000001"/>
    <n v="2.5877124926957356"/>
  </r>
  <r>
    <x v="84"/>
    <x v="1"/>
    <x v="1"/>
    <x v="0"/>
    <x v="2"/>
    <s v="20250710T212328292"/>
    <n v="0"/>
    <s v="decomposedRandom"/>
    <n v="29.501053563568497"/>
    <s v="20250710 21:23:28"/>
    <n v="0"/>
    <n v="15.017573519538377"/>
    <n v="3600.5250000000001"/>
    <n v="14.483480044030122"/>
  </r>
  <r>
    <x v="85"/>
    <x v="1"/>
    <x v="1"/>
    <x v="1"/>
    <x v="2"/>
    <s v="20250710T212328292"/>
    <n v="0"/>
    <s v="decomposedRandom"/>
    <n v="47.13560586105897"/>
    <s v="20250710 21:23:28"/>
    <n v="0"/>
    <n v="31.323137896476709"/>
    <n v="3600.482"/>
    <n v="15.812467964582261"/>
  </r>
  <r>
    <x v="86"/>
    <x v="1"/>
    <x v="1"/>
    <x v="2"/>
    <x v="2"/>
    <s v="20250710T212328292"/>
    <n v="0"/>
    <s v="decomposedRandom"/>
    <n v="13.400670241152461"/>
    <s v="20250710 21:23:28"/>
    <n v="0"/>
    <n v="0"/>
    <n v="3601.0329999999999"/>
    <n v="13.400670241152461"/>
  </r>
  <r>
    <x v="87"/>
    <x v="1"/>
    <x v="1"/>
    <x v="3"/>
    <x v="2"/>
    <s v="20250710T212328292"/>
    <n v="0"/>
    <s v="decomposedRandom"/>
    <n v="11.83904853156241"/>
    <s v="20250710 21:23:28"/>
    <n v="0"/>
    <n v="0"/>
    <n v="3600.759"/>
    <n v="11.83904853156241"/>
  </r>
  <r>
    <x v="88"/>
    <x v="1"/>
    <x v="1"/>
    <x v="4"/>
    <x v="2"/>
    <s v="20250710T212328292"/>
    <n v="0"/>
    <s v="decomposedRandom"/>
    <n v="24.995401496976367"/>
    <s v="20250710 21:23:28"/>
    <n v="0"/>
    <n v="12.047395139822598"/>
    <n v="3600.6619999999998"/>
    <n v="12.948006357153769"/>
  </r>
  <r>
    <x v="89"/>
    <x v="2"/>
    <x v="2"/>
    <x v="0"/>
    <x v="2"/>
    <s v="20250710T212328292"/>
    <n v="0"/>
    <s v="decomposedRandom"/>
    <n v="64.896394482019346"/>
    <s v="20250710 21:23:28"/>
    <n v="0"/>
    <n v="34.931874101451825"/>
    <n v="3600.6089999999999"/>
    <n v="29.964520380567521"/>
  </r>
  <r>
    <x v="90"/>
    <x v="2"/>
    <x v="2"/>
    <x v="1"/>
    <x v="2"/>
    <s v="20250710T212328292"/>
    <n v="0"/>
    <s v="decomposedRandom"/>
    <n v="70.9936697347391"/>
    <s v="20250710 21:23:28"/>
    <n v="0"/>
    <n v="42.841356264415822"/>
    <n v="3600.9859999999999"/>
    <n v="28.152313470323282"/>
  </r>
  <r>
    <x v="91"/>
    <x v="2"/>
    <x v="2"/>
    <x v="2"/>
    <x v="2"/>
    <s v="20250710T212328292"/>
    <n v="0"/>
    <s v="decomposedRandom"/>
    <n v="69.676476474170087"/>
    <s v="20250710 21:23:28"/>
    <n v="0"/>
    <n v="35.958932693212375"/>
    <n v="3600.837"/>
    <n v="33.717543780957712"/>
  </r>
  <r>
    <x v="92"/>
    <x v="2"/>
    <x v="2"/>
    <x v="3"/>
    <x v="2"/>
    <s v="20250710T212328292"/>
    <n v="0"/>
    <s v="decomposedRandom"/>
    <n v="78.293960061412719"/>
    <s v="20250710 21:23:28"/>
    <n v="0"/>
    <n v="49.110202057621464"/>
    <n v="3600.8359999999998"/>
    <n v="29.183758003791255"/>
  </r>
  <r>
    <x v="93"/>
    <x v="2"/>
    <x v="2"/>
    <x v="4"/>
    <x v="2"/>
    <s v="20250710T212328292"/>
    <n v="0"/>
    <s v="decomposedRandom"/>
    <n v="62.510251854889006"/>
    <s v="20250710 21:23:28"/>
    <n v="0"/>
    <n v="32.763176297836551"/>
    <n v="3600.64"/>
    <n v="29.747075557052455"/>
  </r>
  <r>
    <x v="94"/>
    <x v="3"/>
    <x v="3"/>
    <x v="0"/>
    <x v="2"/>
    <s v="20250710T212328292"/>
    <n v="0"/>
    <s v="decomposedRandom"/>
    <n v="91.979848925871863"/>
    <s v="20250710 21:23:28"/>
    <n v="0"/>
    <n v="46.964825057053353"/>
    <n v="3600.6219999999998"/>
    <n v="45.01502386881851"/>
  </r>
  <r>
    <x v="95"/>
    <x v="3"/>
    <x v="3"/>
    <x v="1"/>
    <x v="2"/>
    <s v="20250710T212328292"/>
    <n v="0"/>
    <s v="decomposedRandom"/>
    <n v="78.233379173554709"/>
    <s v="20250710 21:23:28"/>
    <n v="0"/>
    <n v="35.536112223213557"/>
    <n v="3601.29"/>
    <n v="42.697266950341145"/>
  </r>
  <r>
    <x v="96"/>
    <x v="3"/>
    <x v="3"/>
    <x v="2"/>
    <x v="2"/>
    <s v="20250710T212328292"/>
    <n v="0"/>
    <s v="decomposedRandom"/>
    <n v="77.331574324073273"/>
    <s v="20250710 21:23:28"/>
    <n v="0"/>
    <n v="35.396749590623038"/>
    <n v="3600.5439999999999"/>
    <n v="41.934824733450242"/>
  </r>
  <r>
    <x v="97"/>
    <x v="3"/>
    <x v="3"/>
    <x v="3"/>
    <x v="2"/>
    <s v="20250710T212328292"/>
    <n v="0"/>
    <s v="decomposedRandom"/>
    <n v="85.989365897834162"/>
    <s v="20250710 21:23:28"/>
    <n v="0"/>
    <n v="44.665394412269805"/>
    <n v="3600.5430000000001"/>
    <n v="41.323971485564357"/>
  </r>
  <r>
    <x v="98"/>
    <x v="3"/>
    <x v="3"/>
    <x v="4"/>
    <x v="2"/>
    <s v="20250710T214057021"/>
    <n v="0"/>
    <s v="decomposedRandom"/>
    <n v="62.559183974412925"/>
    <s v="20250710 21:40:57"/>
    <n v="0"/>
    <n v="23.269953062444337"/>
    <n v="3600.799"/>
    <n v="39.289230911968588"/>
  </r>
  <r>
    <x v="99"/>
    <x v="4"/>
    <x v="4"/>
    <x v="0"/>
    <x v="2"/>
    <s v="20250710T215421601"/>
    <n v="0"/>
    <s v="decomposedRandom"/>
    <n v="113.74498524642799"/>
    <s v="20250710 21:54:21"/>
    <n v="0"/>
    <n v="57.149815291654349"/>
    <n v="3600.4949999999999"/>
    <n v="56.595169954773638"/>
  </r>
  <r>
    <x v="100"/>
    <x v="4"/>
    <x v="4"/>
    <x v="1"/>
    <x v="2"/>
    <s v="20250710T215937979"/>
    <n v="0"/>
    <s v="decomposedRandom"/>
    <n v="104.88603934583975"/>
    <s v="20250710 21:59:37"/>
    <n v="0"/>
    <n v="44.921983834442521"/>
    <n v="3600.7460000000001"/>
    <n v="59.964055511397227"/>
  </r>
  <r>
    <x v="101"/>
    <x v="4"/>
    <x v="4"/>
    <x v="2"/>
    <x v="2"/>
    <s v="20250710T220336780"/>
    <n v="20"/>
    <s v="decomposedRandom"/>
    <n v="152.90005507026214"/>
    <s v="20250710 22:03:36"/>
    <n v="0"/>
    <n v="74.509238104018692"/>
    <n v="3600.4470000000001"/>
    <n v="58.390816966243442"/>
  </r>
  <r>
    <x v="102"/>
    <x v="4"/>
    <x v="4"/>
    <x v="3"/>
    <x v="2"/>
    <s v="20250710T222328662"/>
    <n v="0"/>
    <s v="decomposedRandom"/>
    <n v="87.936626209164444"/>
    <s v="20250710 22:23:28"/>
    <n v="0"/>
    <n v="20.69352797121196"/>
    <n v="3600.2930000000001"/>
    <n v="67.243098237952481"/>
  </r>
  <r>
    <x v="103"/>
    <x v="4"/>
    <x v="4"/>
    <x v="4"/>
    <x v="2"/>
    <s v="20250710T222328776"/>
    <n v="0"/>
    <s v="decomposedRandom"/>
    <n v="101.65088338246292"/>
    <s v="20250710 22:23:28"/>
    <n v="0"/>
    <n v="53.398171015742548"/>
    <n v="3600.4740000000002"/>
    <n v="48.252712366720381"/>
  </r>
  <r>
    <x v="104"/>
    <x v="5"/>
    <x v="1"/>
    <x v="0"/>
    <x v="2"/>
    <s v="20250710T222328818"/>
    <n v="0"/>
    <s v="decomposedRandom"/>
    <n v="206.49858526171704"/>
    <s v="20250710 22:23:28"/>
    <n v="0"/>
    <n v="122.95429208630105"/>
    <n v="3601.33"/>
    <n v="83.544293175416001"/>
  </r>
  <r>
    <x v="105"/>
    <x v="5"/>
    <x v="1"/>
    <x v="1"/>
    <x v="2"/>
    <s v="20250710T222328837"/>
    <n v="0"/>
    <s v="decomposedRandom"/>
    <n v="184.08082308310998"/>
    <s v="20250710 22:23:28"/>
    <n v="0"/>
    <n v="93.348075569334938"/>
    <n v="3602.5770000000002"/>
    <n v="90.732747513775038"/>
  </r>
  <r>
    <x v="106"/>
    <x v="5"/>
    <x v="1"/>
    <x v="2"/>
    <x v="2"/>
    <s v="20250710T222328838"/>
    <n v="0"/>
    <s v="decomposedRandom"/>
    <n v="82.08955100438672"/>
    <s v="20250710 22:23:28"/>
    <n v="0"/>
    <n v="19.92851570238291"/>
    <n v="3604.13"/>
    <n v="62.161035302003818"/>
  </r>
  <r>
    <x v="107"/>
    <x v="5"/>
    <x v="1"/>
    <x v="3"/>
    <x v="2"/>
    <s v="20250710T222328902"/>
    <n v="0"/>
    <s v="decomposedRandom"/>
    <n v="80.990363753721695"/>
    <s v="20250710 22:23:28"/>
    <n v="0"/>
    <n v="15.194663018418055"/>
    <n v="3604.3690000000001"/>
    <n v="65.79570073530364"/>
  </r>
  <r>
    <x v="108"/>
    <x v="5"/>
    <x v="1"/>
    <x v="4"/>
    <x v="2"/>
    <s v="20250710T222328915"/>
    <n v="0"/>
    <s v="decomposedRandom"/>
    <n v="153.8886616162211"/>
    <s v="20250710 22:23:28"/>
    <n v="0"/>
    <n v="67.025304255021524"/>
    <n v="3608.0590000000002"/>
    <n v="86.86335736119959"/>
  </r>
  <r>
    <x v="109"/>
    <x v="8"/>
    <x v="3"/>
    <x v="0"/>
    <x v="2"/>
    <s v="20250710T222328933"/>
    <n v="0"/>
    <s v="decomposedRandom"/>
    <n v="402.22599898316503"/>
    <s v="20250710 22:23:28"/>
    <n v="0"/>
    <n v="166.53626967552455"/>
    <n v="3600.9659999999999"/>
    <n v="235.68972930764048"/>
  </r>
  <r>
    <x v="110"/>
    <x v="8"/>
    <x v="3"/>
    <x v="1"/>
    <x v="2"/>
    <s v="20250710T222328956"/>
    <n v="0"/>
    <s v="decomposedRandom"/>
    <n v="586.88028517224757"/>
    <s v="20250710 22:23:28"/>
    <n v="0"/>
    <n v="337.86052397956433"/>
    <n v="3600.663"/>
    <n v="249.01976119268321"/>
  </r>
  <r>
    <x v="111"/>
    <x v="8"/>
    <x v="3"/>
    <x v="2"/>
    <x v="2"/>
    <s v="20250710T222329052"/>
    <n v="0"/>
    <s v="decomposedRandom"/>
    <n v="405.09061414215523"/>
    <s v="20250710 22:23:29"/>
    <n v="0"/>
    <n v="190.71837251814443"/>
    <n v="3605.2559999999999"/>
    <n v="214.3722416240108"/>
  </r>
  <r>
    <x v="112"/>
    <x v="8"/>
    <x v="3"/>
    <x v="4"/>
    <x v="2"/>
    <s v="20250710T222329131"/>
    <n v="20"/>
    <s v="decomposedRandom"/>
    <n v="545.05236410620807"/>
    <s v="20250710 22:23:29"/>
    <n v="0"/>
    <n v="287.24097062037288"/>
    <n v="3610.627"/>
    <n v="237.8113934858352"/>
  </r>
  <r>
    <x v="113"/>
    <x v="6"/>
    <x v="5"/>
    <x v="0"/>
    <x v="2"/>
    <s v="20250710T222329200"/>
    <n v="20"/>
    <s v="decomposedRandom"/>
    <n v="833.41557547503862"/>
    <s v="20250710 22:23:29"/>
    <n v="0"/>
    <n v="357.2868559384525"/>
    <n v="3600.9560000000001"/>
    <n v="456.12871953658606"/>
  </r>
  <r>
    <x v="114"/>
    <x v="6"/>
    <x v="5"/>
    <x v="1"/>
    <x v="2"/>
    <s v="20250710T222329281"/>
    <n v="40"/>
    <s v="decomposedRandom"/>
    <n v="968.61138039661773"/>
    <s v="20250710 22:23:29"/>
    <n v="0"/>
    <n v="490.06088065081508"/>
    <n v="3601.37"/>
    <n v="438.55049974580265"/>
  </r>
  <r>
    <x v="115"/>
    <x v="6"/>
    <x v="5"/>
    <x v="2"/>
    <x v="2"/>
    <s v="20250710T222329326"/>
    <n v="20"/>
    <s v="decomposedRandom"/>
    <n v="932.75037768228253"/>
    <s v="20250710 22:23:29"/>
    <n v="0"/>
    <n v="477.91807130778119"/>
    <n v="3601.4169999999999"/>
    <n v="434.83230637450129"/>
  </r>
  <r>
    <x v="116"/>
    <x v="6"/>
    <x v="5"/>
    <x v="3"/>
    <x v="2"/>
    <s v="20250710T222329583"/>
    <n v="20"/>
    <s v="decomposedRandom"/>
    <n v="815.73471604854035"/>
    <s v="20250710 22:23:29"/>
    <n v="0"/>
    <n v="367.05122484305679"/>
    <n v="3600.848"/>
    <n v="428.68349120548362"/>
  </r>
  <r>
    <x v="117"/>
    <x v="6"/>
    <x v="5"/>
    <x v="4"/>
    <x v="2"/>
    <s v="20250710T224057823"/>
    <n v="40"/>
    <s v="decomposedRandom"/>
    <n v="881.6534850574626"/>
    <s v="20250710 22:40:57"/>
    <n v="0"/>
    <n v="418.72338575250984"/>
    <n v="3600.8969999999999"/>
    <n v="422.93009930495276"/>
  </r>
  <r>
    <x v="118"/>
    <x v="7"/>
    <x v="6"/>
    <x v="0"/>
    <x v="2"/>
    <s v="20250710T225422100"/>
    <n v="40"/>
    <s v="decomposedRandom"/>
    <n v="1185.9361243671656"/>
    <s v="20250710 22:54:22"/>
    <n v="0"/>
    <n v="466.65040628063679"/>
    <n v="3601.9940000000001"/>
    <n v="679.28571808652885"/>
  </r>
  <r>
    <x v="119"/>
    <x v="7"/>
    <x v="6"/>
    <x v="1"/>
    <x v="2"/>
    <s v="20250710T225938728"/>
    <n v="60"/>
    <s v="decomposedRandom"/>
    <n v="1347.1390988596027"/>
    <s v="20250710 22:59:38"/>
    <n v="0"/>
    <n v="618.85386417551354"/>
    <n v="3601.9009999999998"/>
    <n v="668.28523468408912"/>
  </r>
  <r>
    <x v="120"/>
    <x v="7"/>
    <x v="6"/>
    <x v="2"/>
    <x v="2"/>
    <s v="20250710T230337230"/>
    <n v="20"/>
    <s v="decomposedRandom"/>
    <n v="1198.5434886000141"/>
    <s v="20250710 23:03:37"/>
    <n v="0"/>
    <n v="486.23025972214913"/>
    <n v="3601.3040000000001"/>
    <n v="692.31322887786496"/>
  </r>
  <r>
    <x v="121"/>
    <x v="7"/>
    <x v="6"/>
    <x v="3"/>
    <x v="2"/>
    <s v="20250710T232328960"/>
    <n v="40"/>
    <s v="decomposedRandom"/>
    <n v="1294.1472189234028"/>
    <s v="20250710 23:23:28"/>
    <n v="0"/>
    <n v="530.3606589572754"/>
    <n v="3601.36"/>
    <n v="723.78655996612747"/>
  </r>
  <r>
    <x v="122"/>
    <x v="7"/>
    <x v="6"/>
    <x v="4"/>
    <x v="2"/>
    <s v="20250710T232329253"/>
    <n v="40"/>
    <s v="decomposedRandom"/>
    <n v="1522.8850298446728"/>
    <s v="20250710 23:23:29"/>
    <n v="0"/>
    <n v="805.77315693937271"/>
    <n v="3602.46"/>
    <n v="677.11187290529995"/>
  </r>
  <r>
    <x v="123"/>
    <x v="9"/>
    <x v="7"/>
    <x v="0"/>
    <x v="2"/>
    <s v="20250710T232329623"/>
    <n v="40"/>
    <s v="decomposedRandom"/>
    <n v="1803.2901787532733"/>
    <s v="20250710 23:23:29"/>
    <n v="0"/>
    <n v="805.80769506659874"/>
    <n v="3601.7979999999998"/>
    <n v="957.48248368667453"/>
  </r>
  <r>
    <x v="124"/>
    <x v="9"/>
    <x v="7"/>
    <x v="1"/>
    <x v="2"/>
    <s v="20250710T232329904"/>
    <n v="40"/>
    <s v="decomposedRandom"/>
    <n v="1870.8345061643877"/>
    <s v="20250710 23:23:29"/>
    <n v="0"/>
    <n v="817.37588063465228"/>
    <n v="3622.02"/>
    <n v="1013.4586255297353"/>
  </r>
  <r>
    <x v="125"/>
    <x v="9"/>
    <x v="7"/>
    <x v="2"/>
    <x v="2"/>
    <s v="20250710T232330151"/>
    <n v="40"/>
    <s v="decomposedRandom"/>
    <n v="1778.3265098133306"/>
    <s v="20250710 23:23:30"/>
    <n v="0"/>
    <n v="765.95612701041614"/>
    <n v="3601.8539999999998"/>
    <n v="972.37038280291461"/>
  </r>
  <r>
    <x v="126"/>
    <x v="9"/>
    <x v="7"/>
    <x v="3"/>
    <x v="2"/>
    <s v="20250710T232330305"/>
    <n v="20"/>
    <s v="decomposedRandom"/>
    <n v="1782.545503555702"/>
    <s v="20250710 23:23:30"/>
    <n v="0"/>
    <n v="796.50994073683682"/>
    <n v="3601.252"/>
    <n v="966.03556281886506"/>
  </r>
  <r>
    <x v="127"/>
    <x v="9"/>
    <x v="7"/>
    <x v="4"/>
    <x v="2"/>
    <s v="20250710T232330434"/>
    <n v="40"/>
    <s v="decomposedRandom"/>
    <n v="1778.2686432416299"/>
    <s v="20250710 23:23:30"/>
    <n v="0"/>
    <n v="776.21154441926842"/>
    <n v="3601.6170000000002"/>
    <n v="962.05709882236158"/>
  </r>
  <r>
    <x v="128"/>
    <x v="3"/>
    <x v="3"/>
    <x v="0"/>
    <x v="0"/>
    <s v="20250721T161133394"/>
    <n v="0"/>
    <s v="decomposedNeighborhoodSearch"/>
    <n v="78.891739664905344"/>
    <s v="20250721 16:11:33"/>
    <n v="0"/>
    <n v="33.507365378873374"/>
    <n v="3600.7640000000001"/>
    <n v="45.384374286031978"/>
  </r>
  <r>
    <x v="129"/>
    <x v="3"/>
    <x v="3"/>
    <x v="1"/>
    <x v="0"/>
    <s v="20250721T161133394"/>
    <n v="0"/>
    <s v="decomposedNeighborhoodSearch"/>
    <n v="68.446788890075368"/>
    <s v="20250721 16:11:33"/>
    <n v="0"/>
    <n v="25.302197532802765"/>
    <n v="3600.72"/>
    <n v="43.144591357272603"/>
  </r>
  <r>
    <x v="130"/>
    <x v="3"/>
    <x v="3"/>
    <x v="2"/>
    <x v="0"/>
    <s v="20250721T161133394"/>
    <n v="0"/>
    <s v="decomposedNeighborhoodSearch"/>
    <n v="69.561741556373534"/>
    <s v="20250721 16:11:33"/>
    <n v="0"/>
    <n v="27.49581398387917"/>
    <n v="3601.2350000000001"/>
    <n v="42.065927572494367"/>
  </r>
  <r>
    <x v="131"/>
    <x v="3"/>
    <x v="3"/>
    <x v="3"/>
    <x v="0"/>
    <s v="20250721T161133394"/>
    <n v="0"/>
    <s v="decomposedNeighborhoodSearch"/>
    <n v="88.686283588197369"/>
    <s v="20250721 16:11:33"/>
    <n v="0"/>
    <n v="47.420126284623734"/>
    <n v="3601.2510000000002"/>
    <n v="41.266157303573642"/>
  </r>
  <r>
    <x v="132"/>
    <x v="3"/>
    <x v="3"/>
    <x v="4"/>
    <x v="0"/>
    <s v="20250721T161133394"/>
    <n v="0"/>
    <s v="decomposedNeighborhoodSearch"/>
    <n v="57.155320569944507"/>
    <s v="20250721 16:11:33"/>
    <n v="0"/>
    <n v="17.936145369461833"/>
    <n v="3600.4"/>
    <n v="39.219175200482674"/>
  </r>
  <r>
    <x v="133"/>
    <x v="3"/>
    <x v="3"/>
    <x v="0"/>
    <x v="2"/>
    <s v="20250721T161150237"/>
    <n v="0"/>
    <s v="decomposedRandom"/>
    <n v="91.979848925871863"/>
    <s v="20250721 16:11:50"/>
    <n v="0"/>
    <n v="46.964825057053353"/>
    <n v="3601.0360000000001"/>
    <n v="45.01502386881851"/>
  </r>
  <r>
    <x v="134"/>
    <x v="3"/>
    <x v="3"/>
    <x v="2"/>
    <x v="2"/>
    <s v="20250721T161150237"/>
    <n v="0"/>
    <s v="decomposedRandom"/>
    <n v="77.321310908993595"/>
    <s v="20250721 16:11:50"/>
    <n v="0"/>
    <n v="35.396749590623038"/>
    <n v="3600.7339999999999"/>
    <n v="41.924561318370557"/>
  </r>
  <r>
    <x v="135"/>
    <x v="3"/>
    <x v="3"/>
    <x v="3"/>
    <x v="2"/>
    <s v="20250721T161150237"/>
    <n v="0"/>
    <s v="decomposedRandom"/>
    <n v="85.735369665674398"/>
    <s v="20250721 16:11:50"/>
    <n v="0"/>
    <n v="44.665394412269805"/>
    <n v="3600.962"/>
    <n v="41.069975253404586"/>
  </r>
  <r>
    <x v="136"/>
    <x v="3"/>
    <x v="3"/>
    <x v="1"/>
    <x v="2"/>
    <s v="20250721T161150238"/>
    <n v="0"/>
    <s v="decomposedRandom"/>
    <n v="72.709830002806171"/>
    <s v="20250721 16:11:50"/>
    <n v="0"/>
    <n v="29.737779141386653"/>
    <n v="3600.6179999999999"/>
    <n v="42.972050861419511"/>
  </r>
  <r>
    <x v="137"/>
    <x v="3"/>
    <x v="3"/>
    <x v="4"/>
    <x v="2"/>
    <s v="20250721T161150238"/>
    <n v="0"/>
    <s v="decomposedRandom"/>
    <n v="62.523183974412945"/>
    <s v="20250721 16:11:50"/>
    <n v="0"/>
    <n v="23.269953062444337"/>
    <n v="3600.7449999999999"/>
    <n v="39.253230911968608"/>
  </r>
  <r>
    <x v="138"/>
    <x v="0"/>
    <x v="0"/>
    <x v="0"/>
    <x v="0"/>
    <s v="20250721T172441878"/>
    <n v="0"/>
    <s v="decomposedNeighborhoodSearch"/>
    <n v="16.901020957822439"/>
    <s v="20250721 17:24:41"/>
    <n v="0"/>
    <n v="13.65585150405872"/>
    <n v="556.48699999999997"/>
    <n v="3.2451694537637183"/>
  </r>
  <r>
    <x v="139"/>
    <x v="0"/>
    <x v="0"/>
    <x v="1"/>
    <x v="0"/>
    <s v="20250721T172441878"/>
    <n v="0"/>
    <s v="decomposedNeighborhoodSearch"/>
    <n v="18.971950064393521"/>
    <s v="20250721 17:24:41"/>
    <n v="0"/>
    <n v="15.191026988511776"/>
    <n v="1477.404"/>
    <n v="3.7809230758817449"/>
  </r>
  <r>
    <x v="140"/>
    <x v="0"/>
    <x v="0"/>
    <x v="2"/>
    <x v="0"/>
    <s v="20250721T172441878"/>
    <n v="0"/>
    <s v="decomposedNeighborhoodSearch"/>
    <n v="1.3297937619041584"/>
    <s v="20250721 17:24:41"/>
    <n v="0"/>
    <n v="0"/>
    <n v="285.40499999999997"/>
    <n v="1.3297937619041584"/>
  </r>
  <r>
    <x v="141"/>
    <x v="0"/>
    <x v="0"/>
    <x v="3"/>
    <x v="0"/>
    <s v="20250721T172441878"/>
    <n v="0"/>
    <s v="decomposedNeighborhoodSearch"/>
    <n v="2.3105343292147222"/>
    <s v="20250721 17:24:41"/>
    <n v="0"/>
    <n v="0"/>
    <n v="316.22300000000001"/>
    <n v="2.3105343292147222"/>
  </r>
  <r>
    <x v="142"/>
    <x v="0"/>
    <x v="0"/>
    <x v="4"/>
    <x v="0"/>
    <s v="20250721T172441878"/>
    <n v="0"/>
    <s v="decomposedNeighborhoodSearch"/>
    <n v="2.5877124926957351"/>
    <s v="20250721 17:24:41"/>
    <n v="0"/>
    <n v="0"/>
    <n v="244.60499999999999"/>
    <n v="2.5877124926957351"/>
  </r>
  <r>
    <x v="143"/>
    <x v="1"/>
    <x v="1"/>
    <x v="0"/>
    <x v="0"/>
    <s v="20250721T172441878"/>
    <n v="0"/>
    <s v="decomposedNeighborhoodSearch"/>
    <n v="29.649359565613587"/>
    <s v="20250721 17:24:41"/>
    <n v="0"/>
    <n v="15.017573519538377"/>
    <n v="3600.404"/>
    <n v="14.631786046075209"/>
  </r>
  <r>
    <x v="144"/>
    <x v="1"/>
    <x v="1"/>
    <x v="1"/>
    <x v="0"/>
    <s v="20250721T172441878"/>
    <n v="0"/>
    <s v="decomposedNeighborhoodSearch"/>
    <n v="47.159099023827999"/>
    <s v="20250721 17:24:41"/>
    <n v="0"/>
    <n v="31.323137896476709"/>
    <n v="3600.5390000000002"/>
    <n v="15.835961127351288"/>
  </r>
  <r>
    <x v="145"/>
    <x v="1"/>
    <x v="1"/>
    <x v="2"/>
    <x v="0"/>
    <s v="20250721T172441878"/>
    <n v="0"/>
    <s v="decomposedNeighborhoodSearch"/>
    <n v="13.41389757073101"/>
    <s v="20250721 17:24:41"/>
    <n v="0"/>
    <n v="0"/>
    <n v="3600.7429999999999"/>
    <n v="13.41389757073101"/>
  </r>
  <r>
    <x v="146"/>
    <x v="1"/>
    <x v="1"/>
    <x v="3"/>
    <x v="0"/>
    <s v="20250721T172441878"/>
    <n v="0"/>
    <s v="decomposedNeighborhoodSearch"/>
    <n v="11.944114975004219"/>
    <s v="20250721 17:24:41"/>
    <n v="0"/>
    <n v="0"/>
    <n v="3600.6"/>
    <n v="11.944114975004219"/>
  </r>
  <r>
    <x v="147"/>
    <x v="1"/>
    <x v="1"/>
    <x v="4"/>
    <x v="0"/>
    <s v="20250721T172441878"/>
    <n v="0"/>
    <s v="decomposedNeighborhoodSearch"/>
    <n v="25.06855189878258"/>
    <s v="20250721 17:24:41"/>
    <n v="0"/>
    <n v="12.047395139822598"/>
    <n v="3600.6909999999998"/>
    <n v="13.021156758959981"/>
  </r>
  <r>
    <x v="148"/>
    <x v="5"/>
    <x v="1"/>
    <x v="0"/>
    <x v="0"/>
    <s v="20250721T172441878"/>
    <n v="0"/>
    <s v="decomposedNeighborhoodSearch"/>
    <n v="215.90947118725813"/>
    <s v="20250721 17:24:41"/>
    <n v="0"/>
    <n v="133.36280591243752"/>
    <n v="3606.5189999999998"/>
    <n v="82.546665274820612"/>
  </r>
  <r>
    <x v="149"/>
    <x v="5"/>
    <x v="1"/>
    <x v="1"/>
    <x v="0"/>
    <s v="20250721T172441878"/>
    <n v="0"/>
    <s v="decomposedNeighborhoodSearch"/>
    <n v="179.49015302489909"/>
    <s v="20250721 17:24:41"/>
    <n v="0"/>
    <n v="88.621475447711688"/>
    <n v="3602.0230000000001"/>
    <n v="90.868677577187398"/>
  </r>
  <r>
    <x v="150"/>
    <x v="5"/>
    <x v="1"/>
    <x v="2"/>
    <x v="0"/>
    <s v="20250721T172441878"/>
    <n v="0"/>
    <s v="decomposedNeighborhoodSearch"/>
    <n v="82.299807066138413"/>
    <s v="20250721 17:24:41"/>
    <n v="0"/>
    <n v="19.92851570238291"/>
    <n v="3602.0680000000002"/>
    <n v="62.371291363755496"/>
  </r>
  <r>
    <x v="151"/>
    <x v="2"/>
    <x v="2"/>
    <x v="0"/>
    <x v="0"/>
    <s v="20250721T172441878"/>
    <n v="0"/>
    <s v="decomposedNeighborhoodSearch"/>
    <n v="60.840492019270592"/>
    <s v="20250721 17:24:41"/>
    <n v="0"/>
    <n v="30.598458673058175"/>
    <n v="3601.4029999999998"/>
    <n v="30.242033346212416"/>
  </r>
  <r>
    <x v="152"/>
    <x v="2"/>
    <x v="2"/>
    <x v="1"/>
    <x v="0"/>
    <s v="20250721T172441878"/>
    <n v="0"/>
    <s v="decomposedNeighborhoodSearch"/>
    <n v="66.967026566713628"/>
    <s v="20250721 17:24:41"/>
    <n v="0"/>
    <n v="38.626333639058132"/>
    <n v="3600.402"/>
    <n v="28.340692927655496"/>
  </r>
  <r>
    <x v="153"/>
    <x v="2"/>
    <x v="2"/>
    <x v="2"/>
    <x v="0"/>
    <s v="20250721T172441878"/>
    <n v="0"/>
    <s v="decomposedNeighborhoodSearch"/>
    <n v="56.141346469862583"/>
    <s v="20250721 17:24:41"/>
    <n v="0"/>
    <n v="22.546752927329283"/>
    <n v="3600.7820000000002"/>
    <n v="33.594593542533296"/>
  </r>
  <r>
    <x v="154"/>
    <x v="2"/>
    <x v="2"/>
    <x v="3"/>
    <x v="0"/>
    <s v="20250721T172441878"/>
    <n v="0"/>
    <s v="decomposedNeighborhoodSearch"/>
    <n v="77.585697790353208"/>
    <s v="20250721 17:24:41"/>
    <n v="0"/>
    <n v="48.184463276919352"/>
    <n v="3600.5329999999999"/>
    <n v="29.401234513433863"/>
  </r>
  <r>
    <x v="155"/>
    <x v="2"/>
    <x v="2"/>
    <x v="4"/>
    <x v="0"/>
    <s v="20250721T172441878"/>
    <n v="0"/>
    <s v="decomposedNeighborhoodSearch"/>
    <n v="51.951864457417614"/>
    <s v="20250721 17:24:41"/>
    <n v="0"/>
    <n v="22.067551654184825"/>
    <n v="3600.6579999999999"/>
    <n v="29.884312803232785"/>
  </r>
  <r>
    <x v="156"/>
    <x v="4"/>
    <x v="4"/>
    <x v="0"/>
    <x v="0"/>
    <s v="20250721T172441878"/>
    <n v="0"/>
    <s v="decomposedNeighborhoodSearch"/>
    <n v="112.86715729081214"/>
    <s v="20250721 17:24:41"/>
    <n v="0"/>
    <n v="54.746877162752938"/>
    <n v="3600.9209999999998"/>
    <n v="58.120280128059214"/>
  </r>
  <r>
    <x v="157"/>
    <x v="4"/>
    <x v="4"/>
    <x v="1"/>
    <x v="0"/>
    <s v="20250721T172441878"/>
    <n v="0"/>
    <s v="decomposedNeighborhoodSearch"/>
    <n v="99.239480079045549"/>
    <s v="20250721 17:24:41"/>
    <n v="0"/>
    <n v="39.125362848434555"/>
    <n v="3601.319"/>
    <n v="60.114117230610994"/>
  </r>
  <r>
    <x v="158"/>
    <x v="4"/>
    <x v="4"/>
    <x v="2"/>
    <x v="0"/>
    <s v="20250721T172441878"/>
    <n v="0"/>
    <s v="decomposedNeighborhoodSearch"/>
    <n v="79.214841100549478"/>
    <s v="20250721 17:24:41"/>
    <n v="0"/>
    <n v="21.76436430081004"/>
    <n v="3601.34"/>
    <n v="57.450476799739441"/>
  </r>
  <r>
    <x v="159"/>
    <x v="4"/>
    <x v="4"/>
    <x v="3"/>
    <x v="0"/>
    <s v="20250721T172441878"/>
    <n v="0"/>
    <s v="decomposedNeighborhoodSearch"/>
    <n v="88.161519835277346"/>
    <s v="20250721 17:24:41"/>
    <n v="0"/>
    <n v="20.69352797121196"/>
    <n v="3600.9459999999999"/>
    <n v="67.467991864065382"/>
  </r>
  <r>
    <x v="160"/>
    <x v="4"/>
    <x v="4"/>
    <x v="4"/>
    <x v="0"/>
    <s v="20250721T172441878"/>
    <n v="0"/>
    <s v="decomposedNeighborhoodSearch"/>
    <n v="92.505733490987865"/>
    <s v="20250721 17:24:41"/>
    <n v="0"/>
    <n v="43.930702756474389"/>
    <n v="3601.018"/>
    <n v="48.575030734513483"/>
  </r>
  <r>
    <x v="161"/>
    <x v="5"/>
    <x v="1"/>
    <x v="3"/>
    <x v="0"/>
    <s v="20250721T172846509"/>
    <n v="0"/>
    <s v="decomposedNeighborhoodSearch"/>
    <n v="78.160693059089098"/>
    <s v="20250721 17:28:46"/>
    <n v="0"/>
    <n v="12.58973460988136"/>
    <n v="3601.2330000000002"/>
    <n v="65.570958449207737"/>
  </r>
  <r>
    <x v="162"/>
    <x v="5"/>
    <x v="1"/>
    <x v="4"/>
    <x v="0"/>
    <s v="20250721T172927285"/>
    <n v="0"/>
    <s v="decomposedNeighborhoodSearch"/>
    <n v="151.6737523862397"/>
    <s v="20250721 17:29:27"/>
    <n v="0"/>
    <n v="64.148326247321961"/>
    <n v="3606.5970000000002"/>
    <n v="87.525426138917751"/>
  </r>
  <r>
    <x v="163"/>
    <x v="8"/>
    <x v="3"/>
    <x v="0"/>
    <x v="0"/>
    <s v="20250721T172958103"/>
    <n v="0"/>
    <s v="decomposedNeighborhoodSearch"/>
    <n v="365.42555184390181"/>
    <s v="20250721 17:29:58"/>
    <n v="0"/>
    <n v="130.80711346469624"/>
    <n v="3603.4389999999999"/>
    <n v="234.61843837920557"/>
  </r>
  <r>
    <x v="164"/>
    <x v="8"/>
    <x v="3"/>
    <x v="1"/>
    <x v="0"/>
    <s v="20250721T173358371"/>
    <n v="20"/>
    <s v="decomposedNeighborhoodSearch"/>
    <n v="469.24892154792417"/>
    <s v="20250721 17:33:58"/>
    <n v="0"/>
    <n v="197.79378068383645"/>
    <n v="3600.8969999999999"/>
    <n v="251.4551408640877"/>
  </r>
  <r>
    <x v="165"/>
    <x v="8"/>
    <x v="3"/>
    <x v="2"/>
    <x v="0"/>
    <s v="20250721T174919287"/>
    <n v="20"/>
    <s v="decomposedNeighborhoodSearch"/>
    <n v="325.9802054681798"/>
    <s v="20250721 17:49:19"/>
    <n v="0"/>
    <n v="89.152096735594682"/>
    <n v="3613.4090000000001"/>
    <n v="216.82810873258512"/>
  </r>
  <r>
    <x v="166"/>
    <x v="8"/>
    <x v="3"/>
    <x v="3"/>
    <x v="0"/>
    <s v="20250721T182442283"/>
    <n v="40"/>
    <s v="decomposedNeighborhoodSearch"/>
    <n v="626.22598776761401"/>
    <s v="20250721 18:24:42"/>
    <n v="0"/>
    <n v="334.34907282390679"/>
    <n v="3602.8850000000002"/>
    <n v="251.87691494370725"/>
  </r>
  <r>
    <x v="167"/>
    <x v="8"/>
    <x v="3"/>
    <x v="4"/>
    <x v="0"/>
    <s v="20250721T182442284"/>
    <n v="20"/>
    <s v="decomposedNeighborhoodSearch"/>
    <n v="481.79067174898785"/>
    <s v="20250721 18:24:42"/>
    <n v="0"/>
    <n v="222.57966432082648"/>
    <n v="3610.145"/>
    <n v="239.21100742816137"/>
  </r>
  <r>
    <x v="168"/>
    <x v="6"/>
    <x v="5"/>
    <x v="0"/>
    <x v="0"/>
    <s v="20250721T182442414"/>
    <n v="40"/>
    <s v="decomposedNeighborhoodSearch"/>
    <n v="839.5012482956912"/>
    <s v="20250721 18:24:42"/>
    <n v="0"/>
    <n v="345.30315990358082"/>
    <n v="3601.9810000000002"/>
    <n v="454.19808839211038"/>
  </r>
  <r>
    <x v="169"/>
    <x v="6"/>
    <x v="5"/>
    <x v="1"/>
    <x v="0"/>
    <s v="20250721T182442420"/>
    <n v="20"/>
    <s v="decomposedNeighborhoodSearch"/>
    <n v="975.78005901424922"/>
    <s v="20250721 18:24:42"/>
    <n v="0"/>
    <n v="516.20430451078255"/>
    <n v="3602.0189999999998"/>
    <n v="439.57575450346673"/>
  </r>
  <r>
    <x v="170"/>
    <x v="6"/>
    <x v="5"/>
    <x v="2"/>
    <x v="0"/>
    <s v="20250721T182442480"/>
    <n v="40"/>
    <s v="decomposedNeighborhoodSearch"/>
    <n v="883.07451903219942"/>
    <s v="20250721 18:24:42"/>
    <n v="0"/>
    <n v="409.8944516333824"/>
    <n v="3602.1880000000001"/>
    <n v="433.18006739881702"/>
  </r>
  <r>
    <x v="171"/>
    <x v="6"/>
    <x v="5"/>
    <x v="3"/>
    <x v="0"/>
    <s v="20250721T182442538"/>
    <n v="20"/>
    <s v="decomposedNeighborhoodSearch"/>
    <n v="733.25748404473097"/>
    <s v="20250721 18:24:42"/>
    <n v="0"/>
    <n v="285.0166270414515"/>
    <n v="3606.6469999999999"/>
    <n v="428.24085700327942"/>
  </r>
  <r>
    <x v="172"/>
    <x v="6"/>
    <x v="5"/>
    <x v="4"/>
    <x v="0"/>
    <s v="20250721T182442571"/>
    <n v="40"/>
    <s v="decomposedNeighborhoodSearch"/>
    <n v="867.5303509629473"/>
    <s v="20250721 18:24:42"/>
    <n v="0"/>
    <n v="403.13481861436333"/>
    <n v="3601.2939999999999"/>
    <n v="424.39553234858403"/>
  </r>
  <r>
    <x v="173"/>
    <x v="7"/>
    <x v="6"/>
    <x v="0"/>
    <x v="0"/>
    <s v="20250721T182442623"/>
    <n v="40"/>
    <s v="decomposedNeighborhoodSearch"/>
    <n v="1162.1379706775513"/>
    <s v="20250721 18:24:42"/>
    <n v="0"/>
    <n v="443.08078396818388"/>
    <n v="3602.9209999999998"/>
    <n v="679.05718670936733"/>
  </r>
  <r>
    <x v="174"/>
    <x v="7"/>
    <x v="6"/>
    <x v="1"/>
    <x v="0"/>
    <s v="20250721T182442662"/>
    <n v="40"/>
    <s v="decomposedNeighborhoodSearch"/>
    <n v="1319.6810937880236"/>
    <s v="20250721 18:24:42"/>
    <n v="0"/>
    <n v="612.47591725646839"/>
    <n v="3602.35"/>
    <n v="667.20517653155537"/>
  </r>
  <r>
    <x v="175"/>
    <x v="7"/>
    <x v="6"/>
    <x v="2"/>
    <x v="0"/>
    <s v="20250721T182442802"/>
    <n v="40"/>
    <s v="decomposedNeighborhoodSearch"/>
    <n v="1199.5400748055888"/>
    <s v="20250721 18:24:42"/>
    <n v="0"/>
    <n v="466.57991674434192"/>
    <n v="3602.741"/>
    <n v="692.96015806124694"/>
  </r>
  <r>
    <x v="176"/>
    <x v="7"/>
    <x v="6"/>
    <x v="3"/>
    <x v="0"/>
    <s v="20250721T182442826"/>
    <n v="40"/>
    <s v="decomposedNeighborhoodSearch"/>
    <n v="1260.4392710252819"/>
    <s v="20250721 18:24:42"/>
    <n v="0"/>
    <n v="496.88565468150023"/>
    <n v="3602.2420000000002"/>
    <n v="723.55361634378175"/>
  </r>
  <r>
    <x v="177"/>
    <x v="7"/>
    <x v="6"/>
    <x v="4"/>
    <x v="0"/>
    <s v="20250721T182442899"/>
    <n v="40"/>
    <s v="decomposedNeighborhoodSearch"/>
    <n v="1522.8850298446728"/>
    <s v="20250721 18:24:42"/>
    <n v="0"/>
    <n v="805.77315693937271"/>
    <n v="3602.377"/>
    <n v="677.11187290529995"/>
  </r>
  <r>
    <x v="178"/>
    <x v="9"/>
    <x v="7"/>
    <x v="0"/>
    <x v="0"/>
    <s v="20250721T182443201"/>
    <n v="40"/>
    <s v="decomposedNeighborhoodSearch"/>
    <n v="1808.504776624859"/>
    <s v="20250721 18:24:43"/>
    <n v="0"/>
    <n v="811.31346567989658"/>
    <n v="3602.576"/>
    <n v="957.19131094496231"/>
  </r>
  <r>
    <x v="179"/>
    <x v="9"/>
    <x v="7"/>
    <x v="1"/>
    <x v="0"/>
    <s v="20250721T182443220"/>
    <n v="40"/>
    <s v="decomposedNeighborhoodSearch"/>
    <n v="1867.046428114028"/>
    <s v="20250721 18:24:43"/>
    <n v="0"/>
    <n v="813.34927877052701"/>
    <n v="3602.8780000000002"/>
    <n v="1013.6971493435011"/>
  </r>
  <r>
    <x v="180"/>
    <x v="9"/>
    <x v="7"/>
    <x v="2"/>
    <x v="0"/>
    <s v="20250721T182443283"/>
    <n v="40"/>
    <s v="decomposedNeighborhoodSearch"/>
    <n v="1774.5697758205938"/>
    <s v="20250721 18:24:43"/>
    <n v="0"/>
    <n v="763.46835559747137"/>
    <n v="3602.9140000000002"/>
    <n v="971.10142022312255"/>
  </r>
  <r>
    <x v="181"/>
    <x v="9"/>
    <x v="7"/>
    <x v="3"/>
    <x v="0"/>
    <s v="20250721T182443905"/>
    <n v="40"/>
    <s v="decomposedNeighborhoodSearch"/>
    <n v="1783.245037584853"/>
    <s v="20250721 18:24:43"/>
    <n v="0"/>
    <n v="776.55386804581269"/>
    <n v="3602.2840000000001"/>
    <n v="966.69116953904029"/>
  </r>
  <r>
    <x v="182"/>
    <x v="9"/>
    <x v="7"/>
    <x v="4"/>
    <x v="0"/>
    <s v="20250721T182443948"/>
    <n v="40"/>
    <s v="decomposedNeighborhoodSearch"/>
    <n v="1785.8933159183243"/>
    <s v="20250721 18:24:43"/>
    <n v="0"/>
    <n v="784.03242194415611"/>
    <n v="3616.4070000000002"/>
    <n v="961.86089397416811"/>
  </r>
  <r>
    <x v="183"/>
    <x v="8"/>
    <x v="3"/>
    <x v="3"/>
    <x v="2"/>
    <s v="20250724T222618913"/>
    <n v="20"/>
    <s v="decomposedRandom"/>
    <n v="590.06609689614027"/>
    <s v="20250724 22:26:18"/>
    <n v="0"/>
    <n v="320.73493229758674"/>
    <n v="3601"/>
    <n v="249.33116459855353"/>
  </r>
  <r>
    <x v="184"/>
    <x v="8"/>
    <x v="3"/>
    <x v="3"/>
    <x v="0"/>
    <s v="20250724T225157489"/>
    <n v="20"/>
    <s v="decomposedNeighborhoodSearch"/>
    <n v="405.34853667994383"/>
    <s v="20250724 22:51:57"/>
    <n v="0"/>
    <n v="131.69455479342696"/>
    <n v="3616.473"/>
    <n v="253.65398188651687"/>
  </r>
  <r>
    <x v="185"/>
    <x v="0"/>
    <x v="0"/>
    <x v="0"/>
    <x v="0"/>
    <s v="20250725T001206496"/>
    <n v="0"/>
    <s v="decomposedNeighborhoodSearch"/>
    <n v="16.901020957822439"/>
    <s v="20250725 00:12:06"/>
    <n v="0"/>
    <n v="13.65585150405872"/>
    <n v="461.483"/>
    <n v="3.2451694537637183"/>
  </r>
  <r>
    <x v="186"/>
    <x v="0"/>
    <x v="0"/>
    <x v="1"/>
    <x v="0"/>
    <s v="20250725T001206496"/>
    <n v="0"/>
    <s v="decomposedNeighborhoodSearch"/>
    <n v="18.971950064393521"/>
    <s v="20250725 00:12:06"/>
    <n v="0"/>
    <n v="15.191026988511776"/>
    <n v="1178.6980000000001"/>
    <n v="3.7809230758817449"/>
  </r>
  <r>
    <x v="187"/>
    <x v="0"/>
    <x v="0"/>
    <x v="3"/>
    <x v="0"/>
    <s v="20250725T001206496"/>
    <n v="0"/>
    <s v="decomposedNeighborhoodSearch"/>
    <n v="2.3105343292147222"/>
    <s v="20250725 00:12:06"/>
    <n v="0"/>
    <n v="0"/>
    <n v="269.291"/>
    <n v="2.3105343292147222"/>
  </r>
  <r>
    <x v="188"/>
    <x v="1"/>
    <x v="1"/>
    <x v="0"/>
    <x v="0"/>
    <s v="20250725T001206496"/>
    <n v="0"/>
    <s v="decomposedNeighborhoodSearch"/>
    <n v="29.649359565613587"/>
    <s v="20250725 00:12:06"/>
    <n v="0"/>
    <n v="15.017573519538377"/>
    <n v="3600.3130000000001"/>
    <n v="14.631786046075209"/>
  </r>
  <r>
    <x v="189"/>
    <x v="1"/>
    <x v="1"/>
    <x v="1"/>
    <x v="0"/>
    <s v="20250725T001206496"/>
    <n v="0"/>
    <s v="decomposedNeighborhoodSearch"/>
    <n v="47.159099023827999"/>
    <s v="20250725 00:12:06"/>
    <n v="0"/>
    <n v="31.323137896476709"/>
    <n v="3600.3539999999998"/>
    <n v="15.835961127351288"/>
  </r>
  <r>
    <x v="190"/>
    <x v="1"/>
    <x v="1"/>
    <x v="2"/>
    <x v="0"/>
    <s v="20250725T001206496"/>
    <n v="0"/>
    <s v="decomposedNeighborhoodSearch"/>
    <n v="13.41389757073101"/>
    <s v="20250725 00:12:06"/>
    <n v="0"/>
    <n v="0"/>
    <n v="3600.59"/>
    <n v="13.41389757073101"/>
  </r>
  <r>
    <x v="191"/>
    <x v="2"/>
    <x v="2"/>
    <x v="0"/>
    <x v="0"/>
    <s v="20250725T001206496"/>
    <n v="0"/>
    <s v="decomposedNeighborhoodSearch"/>
    <n v="60.768792019270585"/>
    <s v="20250725 00:12:06"/>
    <n v="0"/>
    <n v="30.598458673058175"/>
    <n v="3600.3719999999998"/>
    <n v="30.170333346212409"/>
  </r>
  <r>
    <x v="192"/>
    <x v="0"/>
    <x v="0"/>
    <x v="2"/>
    <x v="0"/>
    <s v="20250725T001206497"/>
    <n v="0"/>
    <s v="decomposedNeighborhoodSearch"/>
    <n v="1.3297937619041584"/>
    <s v="20250725 00:12:06"/>
    <n v="0"/>
    <n v="0"/>
    <n v="241.77500000000001"/>
    <n v="1.3297937619041584"/>
  </r>
  <r>
    <x v="193"/>
    <x v="0"/>
    <x v="0"/>
    <x v="4"/>
    <x v="0"/>
    <s v="20250725T001206497"/>
    <n v="0"/>
    <s v="decomposedNeighborhoodSearch"/>
    <n v="2.5877124926957351"/>
    <s v="20250725 00:12:06"/>
    <n v="0"/>
    <n v="0"/>
    <n v="208.09700000000001"/>
    <n v="2.5877124926957351"/>
  </r>
  <r>
    <x v="194"/>
    <x v="1"/>
    <x v="1"/>
    <x v="3"/>
    <x v="0"/>
    <s v="20250725T001206497"/>
    <n v="0"/>
    <s v="decomposedNeighborhoodSearch"/>
    <n v="11.944114975004219"/>
    <s v="20250725 00:12:06"/>
    <n v="0"/>
    <n v="0"/>
    <n v="3600.32"/>
    <n v="11.944114975004219"/>
  </r>
  <r>
    <x v="195"/>
    <x v="1"/>
    <x v="1"/>
    <x v="4"/>
    <x v="0"/>
    <s v="20250725T001206497"/>
    <n v="0"/>
    <s v="decomposedNeighborhoodSearch"/>
    <n v="25.06855189878258"/>
    <s v="20250725 00:12:06"/>
    <n v="0"/>
    <n v="12.047395139822598"/>
    <n v="3600.509"/>
    <n v="13.021156758959981"/>
  </r>
  <r>
    <x v="196"/>
    <x v="2"/>
    <x v="2"/>
    <x v="1"/>
    <x v="0"/>
    <s v="20250725T001534614"/>
    <n v="0"/>
    <s v="decomposedNeighborhoodSearch"/>
    <n v="66.914766699345734"/>
    <s v="20250725 00:15:34"/>
    <n v="0"/>
    <n v="38.626333639058132"/>
    <n v="3600.4479999999999"/>
    <n v="28.288433060287606"/>
  </r>
  <r>
    <x v="197"/>
    <x v="2"/>
    <x v="2"/>
    <x v="2"/>
    <x v="0"/>
    <s v="20250725T001608273"/>
    <n v="0"/>
    <s v="decomposedNeighborhoodSearch"/>
    <n v="56.095332964041873"/>
    <s v="20250725 00:16:08"/>
    <n v="0"/>
    <n v="22.546752927329283"/>
    <n v="3600.1640000000002"/>
    <n v="33.548580036712586"/>
  </r>
  <r>
    <x v="198"/>
    <x v="2"/>
    <x v="2"/>
    <x v="3"/>
    <x v="0"/>
    <s v="20250725T001635789"/>
    <n v="0"/>
    <s v="decomposedNeighborhoodSearch"/>
    <n v="77.508597790353207"/>
    <s v="20250725 00:16:35"/>
    <n v="0"/>
    <n v="48.184463276919352"/>
    <n v="3600.348"/>
    <n v="29.324134513433862"/>
  </r>
  <r>
    <x v="199"/>
    <x v="2"/>
    <x v="2"/>
    <x v="4"/>
    <x v="0"/>
    <s v="20250725T001947984"/>
    <n v="0"/>
    <s v="decomposedNeighborhoodSearch"/>
    <n v="51.891558396101246"/>
    <s v="20250725 00:19:47"/>
    <n v="0"/>
    <n v="22.067551654184825"/>
    <n v="3600.7040000000002"/>
    <n v="29.824006741916424"/>
  </r>
  <r>
    <x v="200"/>
    <x v="3"/>
    <x v="3"/>
    <x v="0"/>
    <x v="0"/>
    <s v="20250725T003145197"/>
    <n v="0"/>
    <s v="decomposedNeighborhoodSearch"/>
    <n v="78.891739664905344"/>
    <s v="20250725 00:31:45"/>
    <n v="0"/>
    <n v="33.507365378873374"/>
    <n v="3600.194"/>
    <n v="45.384374286031978"/>
  </r>
  <r>
    <x v="201"/>
    <x v="3"/>
    <x v="3"/>
    <x v="1"/>
    <x v="0"/>
    <s v="20250725T011206813"/>
    <n v="0"/>
    <s v="decomposedNeighborhoodSearch"/>
    <n v="68.482788890075341"/>
    <s v="20250725 01:12:06"/>
    <n v="0"/>
    <n v="25.302197532802765"/>
    <n v="3600.2779999999998"/>
    <n v="43.180591357272583"/>
  </r>
  <r>
    <x v="202"/>
    <x v="3"/>
    <x v="3"/>
    <x v="2"/>
    <x v="0"/>
    <s v="20250725T011206818"/>
    <n v="0"/>
    <s v="decomposedNeighborhoodSearch"/>
    <n v="69.561741556373534"/>
    <s v="20250725 01:12:06"/>
    <n v="0"/>
    <n v="27.49581398387917"/>
    <n v="3600.1480000000001"/>
    <n v="42.065927572494367"/>
  </r>
  <r>
    <x v="203"/>
    <x v="3"/>
    <x v="3"/>
    <x v="3"/>
    <x v="0"/>
    <s v="20250725T011206852"/>
    <n v="0"/>
    <s v="decomposedNeighborhoodSearch"/>
    <n v="88.790070440514569"/>
    <s v="20250725 01:12:06"/>
    <n v="0"/>
    <n v="47.420126284623734"/>
    <n v="3600.2890000000002"/>
    <n v="41.369944155890842"/>
  </r>
  <r>
    <x v="204"/>
    <x v="3"/>
    <x v="3"/>
    <x v="4"/>
    <x v="0"/>
    <s v="20250725T011206870"/>
    <n v="0"/>
    <s v="decomposedNeighborhoodSearch"/>
    <n v="57.191320569944487"/>
    <s v="20250725 01:12:06"/>
    <n v="0"/>
    <n v="17.936145369461833"/>
    <n v="3600.096"/>
    <n v="39.255175200482654"/>
  </r>
  <r>
    <x v="205"/>
    <x v="4"/>
    <x v="4"/>
    <x v="0"/>
    <x v="0"/>
    <s v="20250725T011207007"/>
    <n v="0"/>
    <s v="decomposedNeighborhoodSearch"/>
    <n v="112.57719835620544"/>
    <s v="20250725 01:12:07"/>
    <n v="0"/>
    <n v="54.746877162752938"/>
    <n v="3600.5140000000001"/>
    <n v="57.830321193452505"/>
  </r>
  <r>
    <x v="206"/>
    <x v="4"/>
    <x v="4"/>
    <x v="1"/>
    <x v="0"/>
    <s v="20250725T011207088"/>
    <n v="0"/>
    <s v="decomposedNeighborhoodSearch"/>
    <n v="99.153285366358062"/>
    <s v="20250725 01:12:07"/>
    <n v="0"/>
    <n v="39.125362848434555"/>
    <n v="3600.623"/>
    <n v="60.027922517923514"/>
  </r>
  <r>
    <x v="207"/>
    <x v="4"/>
    <x v="4"/>
    <x v="2"/>
    <x v="0"/>
    <s v="20250725T011535065"/>
    <n v="0"/>
    <s v="decomposedNeighborhoodSearch"/>
    <n v="78.980158010684434"/>
    <s v="20250725 01:15:35"/>
    <n v="0"/>
    <n v="21.76436430081004"/>
    <n v="3601.0219999999999"/>
    <n v="57.215793709874397"/>
  </r>
  <r>
    <x v="208"/>
    <x v="4"/>
    <x v="4"/>
    <x v="3"/>
    <x v="0"/>
    <s v="20250725T011608439"/>
    <n v="0"/>
    <s v="decomposedNeighborhoodSearch"/>
    <n v="87.708524241314194"/>
    <s v="20250725 01:16:08"/>
    <n v="0"/>
    <n v="20.69352797121196"/>
    <n v="3601.047"/>
    <n v="67.01499627010223"/>
  </r>
  <r>
    <x v="209"/>
    <x v="4"/>
    <x v="4"/>
    <x v="4"/>
    <x v="0"/>
    <s v="20250725T011636139"/>
    <n v="0"/>
    <s v="decomposedNeighborhoodSearch"/>
    <n v="92.259733190754503"/>
    <s v="20250725 01:16:36"/>
    <n v="0"/>
    <n v="43.930702756474389"/>
    <n v="3600.415"/>
    <n v="48.329030434280114"/>
  </r>
  <r>
    <x v="210"/>
    <x v="5"/>
    <x v="1"/>
    <x v="0"/>
    <x v="0"/>
    <s v="20250725T011948690"/>
    <n v="0"/>
    <s v="decomposedNeighborhoodSearch"/>
    <n v="204.60624352741789"/>
    <s v="20250725 01:19:48"/>
    <n v="0"/>
    <n v="121.86587970313883"/>
    <n v="3600.8359999999998"/>
    <n v="82.740363824279058"/>
  </r>
  <r>
    <x v="211"/>
    <x v="5"/>
    <x v="1"/>
    <x v="1"/>
    <x v="0"/>
    <s v="20250725T013145392"/>
    <n v="0"/>
    <s v="decomposedNeighborhoodSearch"/>
    <n v="179.26716991265471"/>
    <s v="20250725 01:31:45"/>
    <n v="0"/>
    <n v="88.621475447711688"/>
    <n v="3600.19"/>
    <n v="90.64569446494302"/>
  </r>
  <r>
    <x v="212"/>
    <x v="5"/>
    <x v="1"/>
    <x v="2"/>
    <x v="0"/>
    <s v="20250725T021206969"/>
    <n v="0"/>
    <s v="decomposedNeighborhoodSearch"/>
    <n v="82.28152431590479"/>
    <s v="20250725 02:12:06"/>
    <n v="0"/>
    <n v="19.92851570238291"/>
    <n v="3600.6350000000002"/>
    <n v="62.353008613521887"/>
  </r>
  <r>
    <x v="213"/>
    <x v="5"/>
    <x v="1"/>
    <x v="3"/>
    <x v="0"/>
    <s v="20250725T021206969"/>
    <n v="0"/>
    <s v="decomposedNeighborhoodSearch"/>
    <n v="78.059145381873407"/>
    <s v="20250725 02:12:06"/>
    <n v="0"/>
    <n v="12.58973460988136"/>
    <n v="3600.5479999999998"/>
    <n v="65.469410771992045"/>
  </r>
  <r>
    <x v="214"/>
    <x v="5"/>
    <x v="1"/>
    <x v="4"/>
    <x v="0"/>
    <s v="20250725T021207092"/>
    <n v="0"/>
    <s v="decomposedNeighborhoodSearch"/>
    <n v="151.39931059005988"/>
    <s v="20250725 02:12:07"/>
    <n v="0"/>
    <n v="64.148326247321961"/>
    <n v="3600.2489999999998"/>
    <n v="87.250984342737937"/>
  </r>
  <r>
    <x v="215"/>
    <x v="8"/>
    <x v="3"/>
    <x v="0"/>
    <x v="0"/>
    <s v="20250725T021207143"/>
    <n v="0"/>
    <s v="decomposedNeighborhoodSearch"/>
    <n v="365.39398144921381"/>
    <s v="20250725 02:12:07"/>
    <n v="0"/>
    <n v="130.80711346469624"/>
    <n v="3607.9569999999999"/>
    <n v="234.5868679845176"/>
  </r>
  <r>
    <x v="216"/>
    <x v="8"/>
    <x v="3"/>
    <x v="1"/>
    <x v="0"/>
    <s v="20250725T021207523"/>
    <n v="20"/>
    <s v="decomposedNeighborhoodSearch"/>
    <n v="460.0696781141578"/>
    <s v="20250725 02:12:07"/>
    <n v="0"/>
    <n v="189.63915319891703"/>
    <n v="3600.491"/>
    <n v="250.43052491524074"/>
  </r>
  <r>
    <x v="217"/>
    <x v="8"/>
    <x v="3"/>
    <x v="2"/>
    <x v="0"/>
    <s v="20250725T021207713"/>
    <n v="20"/>
    <s v="decomposedNeighborhoodSearch"/>
    <n v="321.7895369926074"/>
    <s v="20250725 02:12:07"/>
    <n v="0"/>
    <n v="85.277800236871428"/>
    <n v="3609.1889999999999"/>
    <n v="216.511736755736"/>
  </r>
  <r>
    <x v="218"/>
    <x v="8"/>
    <x v="3"/>
    <x v="3"/>
    <x v="0"/>
    <s v="20250725T021536089"/>
    <n v="20"/>
    <s v="decomposedNeighborhoodSearch"/>
    <n v="498.99206498155928"/>
    <s v="20250725 02:15:36"/>
    <n v="0"/>
    <n v="226.18175191167865"/>
    <n v="3601.1570000000002"/>
    <n v="252.81031306988064"/>
  </r>
  <r>
    <x v="219"/>
    <x v="8"/>
    <x v="3"/>
    <x v="4"/>
    <x v="0"/>
    <s v="20250725T021609488"/>
    <n v="20"/>
    <s v="decomposedNeighborhoodSearch"/>
    <n v="458.69027533506295"/>
    <s v="20250725 02:16:09"/>
    <n v="0"/>
    <n v="199.52197040038394"/>
    <n v="3602.788"/>
    <n v="239.16830493467901"/>
  </r>
  <r>
    <x v="220"/>
    <x v="6"/>
    <x v="5"/>
    <x v="0"/>
    <x v="0"/>
    <s v="20250725T021636556"/>
    <n v="40"/>
    <s v="decomposedNeighborhoodSearch"/>
    <n v="800.53978951791078"/>
    <s v="20250725 02:16:36"/>
    <n v="0"/>
    <n v="306.60225161723065"/>
    <n v="3601.2449999999999"/>
    <n v="453.93753790068018"/>
  </r>
  <r>
    <x v="221"/>
    <x v="6"/>
    <x v="5"/>
    <x v="1"/>
    <x v="0"/>
    <s v="20250725T021949533"/>
    <n v="20"/>
    <s v="decomposedNeighborhoodSearch"/>
    <n v="912.80304947970797"/>
    <s v="20250725 02:19:49"/>
    <n v="0"/>
    <n v="452.84487072678189"/>
    <n v="3602.1480000000001"/>
    <n v="439.95817875292607"/>
  </r>
  <r>
    <x v="222"/>
    <x v="6"/>
    <x v="5"/>
    <x v="2"/>
    <x v="0"/>
    <s v="20250725T023145586"/>
    <n v="20"/>
    <s v="decomposedNeighborhoodSearch"/>
    <n v="859.60983880981667"/>
    <s v="20250725 02:31:45"/>
    <n v="0"/>
    <n v="406.98574154077994"/>
    <n v="3601.97"/>
    <n v="432.62409726903672"/>
  </r>
  <r>
    <x v="223"/>
    <x v="6"/>
    <x v="5"/>
    <x v="3"/>
    <x v="0"/>
    <s v="20250725T031207345"/>
    <n v="20"/>
    <s v="decomposedNeighborhoodSearch"/>
    <n v="732.83764955577317"/>
    <s v="20250725 03:12:07"/>
    <n v="0"/>
    <n v="285.0166270414515"/>
    <n v="3601.3580000000002"/>
    <n v="427.82102251432167"/>
  </r>
  <r>
    <x v="224"/>
    <x v="6"/>
    <x v="5"/>
    <x v="4"/>
    <x v="0"/>
    <s v="20250725T031207519"/>
    <n v="40"/>
    <s v="decomposedNeighborhoodSearch"/>
    <n v="845.38863713629621"/>
    <s v="20250725 03:12:07"/>
    <n v="0"/>
    <n v="382.15136694267812"/>
    <n v="3601.8069999999998"/>
    <n v="423.23727019361814"/>
  </r>
  <r>
    <x v="225"/>
    <x v="7"/>
    <x v="6"/>
    <x v="0"/>
    <x v="0"/>
    <s v="20250725T031207605"/>
    <n v="40"/>
    <s v="decomposedNeighborhoodSearch"/>
    <n v="1146.8892787738596"/>
    <s v="20250725 03:12:07"/>
    <n v="0"/>
    <n v="427.34996548546701"/>
    <n v="3602.2089999999998"/>
    <n v="679.53931328839258"/>
  </r>
  <r>
    <x v="226"/>
    <x v="7"/>
    <x v="6"/>
    <x v="1"/>
    <x v="0"/>
    <s v="20250725T031208017"/>
    <n v="40"/>
    <s v="decomposedNeighborhoodSearch"/>
    <n v="1299.2400902722843"/>
    <s v="20250725 03:12:08"/>
    <n v="0"/>
    <n v="591.73399494996636"/>
    <n v="3601.7660000000001"/>
    <n v="667.50609532231783"/>
  </r>
  <r>
    <x v="227"/>
    <x v="7"/>
    <x v="6"/>
    <x v="2"/>
    <x v="0"/>
    <s v="20250725T031215103"/>
    <n v="40"/>
    <s v="decomposedNeighborhoodSearch"/>
    <n v="1173.1913053514299"/>
    <s v="20250725 03:12:15"/>
    <n v="0"/>
    <n v="440.9933036859199"/>
    <n v="3601.2310000000002"/>
    <n v="692.19800166551011"/>
  </r>
  <r>
    <x v="228"/>
    <x v="7"/>
    <x v="6"/>
    <x v="3"/>
    <x v="0"/>
    <s v="20250725T031216904"/>
    <n v="40"/>
    <s v="decomposedNeighborhoodSearch"/>
    <n v="1252.1176109698249"/>
    <s v="20250725 03:12:16"/>
    <n v="0"/>
    <n v="488.73259462604415"/>
    <n v="3601.7919999999999"/>
    <n v="723.38501634378065"/>
  </r>
  <r>
    <x v="229"/>
    <x v="7"/>
    <x v="6"/>
    <x v="4"/>
    <x v="0"/>
    <s v="20250725T031537262"/>
    <n v="40"/>
    <s v="decomposedNeighborhoodSearch"/>
    <n v="1522.8850298446728"/>
    <s v="20250725 03:15:37"/>
    <n v="0"/>
    <n v="805.77315693937271"/>
    <n v="3602.3040000000001"/>
    <n v="677.11187290529995"/>
  </r>
  <r>
    <x v="230"/>
    <x v="9"/>
    <x v="7"/>
    <x v="0"/>
    <x v="0"/>
    <s v="20250725T031612282"/>
    <n v="40"/>
    <s v="decomposedNeighborhoodSearch"/>
    <n v="1790.7826152223504"/>
    <s v="20250725 03:16:12"/>
    <n v="0"/>
    <n v="794.3689487287561"/>
    <n v="3602.2429999999999"/>
    <n v="956.41366649359429"/>
  </r>
  <r>
    <x v="231"/>
    <x v="9"/>
    <x v="7"/>
    <x v="1"/>
    <x v="0"/>
    <s v="20250725T031637811"/>
    <n v="60"/>
    <s v="decomposedNeighborhoodSearch"/>
    <n v="1829.209518019913"/>
    <s v="20250725 03:16:37"/>
    <n v="0"/>
    <n v="755.54647275198408"/>
    <n v="3602.31"/>
    <n v="1013.6630452679289"/>
  </r>
  <r>
    <x v="232"/>
    <x v="9"/>
    <x v="7"/>
    <x v="2"/>
    <x v="0"/>
    <s v="20250725T031951685"/>
    <n v="40"/>
    <s v="decomposedNeighborhoodSearch"/>
    <n v="1758.7579706190029"/>
    <s v="20250725 03:19:51"/>
    <n v="0"/>
    <n v="748.52740563308589"/>
    <n v="3601.5140000000001"/>
    <n v="970.230564985917"/>
  </r>
  <r>
    <x v="233"/>
    <x v="9"/>
    <x v="7"/>
    <x v="3"/>
    <x v="0"/>
    <s v="20250725T033147561"/>
    <n v="40"/>
    <s v="decomposedNeighborhoodSearch"/>
    <n v="1756.7581091748611"/>
    <s v="20250725 03:31:47"/>
    <n v="0"/>
    <n v="750.08475201271949"/>
    <n v="3612.2330000000002"/>
    <n v="966.67335716214166"/>
  </r>
  <r>
    <x v="234"/>
    <x v="9"/>
    <x v="7"/>
    <x v="4"/>
    <x v="0"/>
    <s v="20250725T041208709"/>
    <n v="40"/>
    <s v="decomposedNeighborhoodSearch"/>
    <n v="1700.0914674363032"/>
    <s v="20250725 04:12:08"/>
    <n v="0"/>
    <n v="699.06008266176082"/>
    <n v="3601.0709999999999"/>
    <n v="961.0313847745424"/>
  </r>
  <r>
    <x v="235"/>
    <x v="0"/>
    <x v="0"/>
    <x v="0"/>
    <x v="2"/>
    <s v="20250725T114034544"/>
    <n v="0"/>
    <s v="decomposedRandom"/>
    <n v="16.901020957822439"/>
    <s v="20250725 11:40:34"/>
    <n v="0"/>
    <n v="13.65585150405872"/>
    <n v="1863.7370000000001"/>
    <n v="3.2451694537637183"/>
  </r>
  <r>
    <x v="236"/>
    <x v="0"/>
    <x v="0"/>
    <x v="1"/>
    <x v="2"/>
    <s v="20250725T114034544"/>
    <n v="0"/>
    <s v="decomposedRandom"/>
    <n v="18.971950064393521"/>
    <s v="20250725 11:40:34"/>
    <n v="0"/>
    <n v="15.191026988511776"/>
    <n v="3600.3029999999999"/>
    <n v="3.7809230758817449"/>
  </r>
  <r>
    <x v="237"/>
    <x v="0"/>
    <x v="0"/>
    <x v="2"/>
    <x v="2"/>
    <s v="20250725T114034544"/>
    <n v="0"/>
    <s v="decomposedRandom"/>
    <n v="1.3297937619041584"/>
    <s v="20250725 11:40:34"/>
    <n v="0"/>
    <n v="0"/>
    <n v="854.54"/>
    <n v="1.3297937619041584"/>
  </r>
  <r>
    <x v="238"/>
    <x v="0"/>
    <x v="0"/>
    <x v="3"/>
    <x v="2"/>
    <s v="20250725T114034544"/>
    <n v="0"/>
    <s v="decomposedRandom"/>
    <n v="2.3105343292147218"/>
    <s v="20250725 11:40:34"/>
    <n v="0"/>
    <n v="0"/>
    <n v="1510.14"/>
    <n v="2.3105343292147218"/>
  </r>
  <r>
    <x v="239"/>
    <x v="0"/>
    <x v="0"/>
    <x v="4"/>
    <x v="2"/>
    <s v="20250725T114034544"/>
    <n v="0"/>
    <s v="decomposedRandom"/>
    <n v="2.5877124926957356"/>
    <s v="20250725 11:40:34"/>
    <n v="0"/>
    <n v="0"/>
    <n v="1931.59"/>
    <n v="2.5877124926957356"/>
  </r>
  <r>
    <x v="240"/>
    <x v="1"/>
    <x v="1"/>
    <x v="0"/>
    <x v="2"/>
    <s v="20250725T114034544"/>
    <n v="0"/>
    <s v="decomposedRandom"/>
    <n v="29.501053563568497"/>
    <s v="20250725 11:40:34"/>
    <n v="0"/>
    <n v="15.017573519538377"/>
    <n v="3600.3339999999998"/>
    <n v="14.483480044030122"/>
  </r>
  <r>
    <x v="241"/>
    <x v="1"/>
    <x v="1"/>
    <x v="1"/>
    <x v="2"/>
    <s v="20250725T114034544"/>
    <n v="0"/>
    <s v="decomposedRandom"/>
    <n v="47.13560586105897"/>
    <s v="20250725 11:40:34"/>
    <n v="0"/>
    <n v="31.323137896476709"/>
    <n v="3600.703"/>
    <n v="15.812467964582261"/>
  </r>
  <r>
    <x v="242"/>
    <x v="1"/>
    <x v="1"/>
    <x v="2"/>
    <x v="2"/>
    <s v="20250725T114034544"/>
    <n v="0"/>
    <s v="decomposedRandom"/>
    <n v="13.400670241152461"/>
    <s v="20250725 11:40:34"/>
    <n v="0"/>
    <n v="0"/>
    <n v="3600.6970000000001"/>
    <n v="13.400670241152461"/>
  </r>
  <r>
    <x v="243"/>
    <x v="1"/>
    <x v="1"/>
    <x v="3"/>
    <x v="2"/>
    <s v="20250725T114034544"/>
    <n v="0"/>
    <s v="decomposedRandom"/>
    <n v="11.805748531562413"/>
    <s v="20250725 11:40:34"/>
    <n v="0"/>
    <n v="0"/>
    <n v="3600.7330000000002"/>
    <n v="11.805748531562413"/>
  </r>
  <r>
    <x v="244"/>
    <x v="1"/>
    <x v="1"/>
    <x v="4"/>
    <x v="2"/>
    <s v="20250725T114034544"/>
    <n v="0"/>
    <s v="decomposedRandom"/>
    <n v="25.023901496976364"/>
    <s v="20250725 11:40:34"/>
    <n v="0"/>
    <n v="12.047395139822598"/>
    <n v="3600.3879999999999"/>
    <n v="12.976506357153767"/>
  </r>
  <r>
    <x v="245"/>
    <x v="2"/>
    <x v="2"/>
    <x v="0"/>
    <x v="2"/>
    <s v="20250725T114034544"/>
    <n v="0"/>
    <s v="decomposedRandom"/>
    <n v="64.829285100747057"/>
    <s v="20250725 11:40:34"/>
    <n v="0"/>
    <n v="34.931874101451825"/>
    <n v="3601.125"/>
    <n v="29.897410999295232"/>
  </r>
  <r>
    <x v="246"/>
    <x v="2"/>
    <x v="2"/>
    <x v="1"/>
    <x v="2"/>
    <s v="20250725T115449100"/>
    <n v="0"/>
    <s v="decomposedRandom"/>
    <n v="70.980649552130075"/>
    <s v="20250725 11:54:49"/>
    <n v="0"/>
    <n v="42.841356264415822"/>
    <n v="3600.2040000000002"/>
    <n v="28.139293287714253"/>
  </r>
  <r>
    <x v="247"/>
    <x v="2"/>
    <x v="2"/>
    <x v="2"/>
    <x v="2"/>
    <s v="20250725T120544687"/>
    <n v="0"/>
    <s v="decomposedRandom"/>
    <n v="69.676476474170087"/>
    <s v="20250725 12:05:44"/>
    <n v="0"/>
    <n v="35.958932693212375"/>
    <n v="3600.0770000000002"/>
    <n v="33.717543780957712"/>
  </r>
  <r>
    <x v="248"/>
    <x v="2"/>
    <x v="2"/>
    <x v="3"/>
    <x v="2"/>
    <s v="20250725T121138285"/>
    <n v="0"/>
    <s v="decomposedRandom"/>
    <n v="78.271160061412729"/>
    <s v="20250725 12:11:38"/>
    <n v="0"/>
    <n v="49.110202057621464"/>
    <n v="3600.78"/>
    <n v="29.160958003791258"/>
  </r>
  <r>
    <x v="249"/>
    <x v="2"/>
    <x v="2"/>
    <x v="4"/>
    <x v="2"/>
    <s v="20250725T121246137"/>
    <n v="0"/>
    <s v="decomposedRandom"/>
    <n v="62.510251854889006"/>
    <s v="20250725 12:12:46"/>
    <n v="0"/>
    <n v="32.763176297836551"/>
    <n v="3600.2910000000002"/>
    <n v="29.747075557052455"/>
  </r>
  <r>
    <x v="250"/>
    <x v="3"/>
    <x v="3"/>
    <x v="0"/>
    <x v="2"/>
    <s v="20250725T124034850"/>
    <n v="0"/>
    <s v="decomposedRandom"/>
    <n v="91.979848925871863"/>
    <s v="20250725 12:40:34"/>
    <n v="0"/>
    <n v="46.964825057053353"/>
    <n v="3600.2640000000001"/>
    <n v="45.01502386881851"/>
  </r>
  <r>
    <x v="251"/>
    <x v="3"/>
    <x v="3"/>
    <x v="1"/>
    <x v="2"/>
    <s v="20250725T124034880"/>
    <n v="0"/>
    <s v="decomposedRandom"/>
    <n v="72.714030002806155"/>
    <s v="20250725 12:40:34"/>
    <n v="0"/>
    <n v="29.737779141386653"/>
    <n v="3600.7379999999998"/>
    <n v="42.976250861419501"/>
  </r>
  <r>
    <x v="252"/>
    <x v="3"/>
    <x v="3"/>
    <x v="2"/>
    <x v="2"/>
    <s v="20250725T124034933"/>
    <n v="0"/>
    <s v="decomposedRandom"/>
    <n v="77.321310908993595"/>
    <s v="20250725 12:40:34"/>
    <n v="0"/>
    <n v="35.396749590623038"/>
    <n v="3600.7249999999999"/>
    <n v="41.924561318370557"/>
  </r>
  <r>
    <x v="253"/>
    <x v="3"/>
    <x v="3"/>
    <x v="3"/>
    <x v="2"/>
    <s v="20250725T124035243"/>
    <n v="0"/>
    <s v="decomposedRandom"/>
    <n v="85.735369665674398"/>
    <s v="20250725 12:40:35"/>
    <n v="0"/>
    <n v="44.665394412269805"/>
    <n v="3600.1120000000001"/>
    <n v="41.069975253404586"/>
  </r>
  <r>
    <x v="254"/>
    <x v="3"/>
    <x v="3"/>
    <x v="4"/>
    <x v="2"/>
    <s v="20250725T124035248"/>
    <n v="0"/>
    <s v="decomposedRandom"/>
    <n v="62.523183974412945"/>
    <s v="20250725 12:40:35"/>
    <n v="0"/>
    <n v="23.269953062444337"/>
    <n v="3600.4430000000002"/>
    <n v="39.253230911968608"/>
  </r>
  <r>
    <x v="255"/>
    <x v="4"/>
    <x v="4"/>
    <x v="0"/>
    <x v="2"/>
    <s v="20250725T124035279"/>
    <n v="0"/>
    <s v="decomposedRandom"/>
    <n v="108.97995084877874"/>
    <s v="20250725 12:40:35"/>
    <n v="0"/>
    <n v="52.653925142790399"/>
    <n v="3600.5360000000001"/>
    <n v="56.32602570598835"/>
  </r>
  <r>
    <x v="256"/>
    <x v="4"/>
    <x v="4"/>
    <x v="1"/>
    <x v="2"/>
    <s v="20250725T124035671"/>
    <n v="0"/>
    <s v="decomposedRandom"/>
    <n v="104.71834683058242"/>
    <s v="20250725 12:40:35"/>
    <n v="0"/>
    <n v="44.921983834442521"/>
    <n v="3600.8510000000001"/>
    <n v="59.796362996139891"/>
  </r>
  <r>
    <x v="257"/>
    <x v="4"/>
    <x v="4"/>
    <x v="2"/>
    <x v="2"/>
    <s v="20250725T125449308"/>
    <n v="0"/>
    <s v="decomposedRandom"/>
    <n v="128.27070354654091"/>
    <s v="20250725 12:54:49"/>
    <n v="0"/>
    <n v="69.66160176731799"/>
    <n v="3600.8310000000001"/>
    <n v="58.609101779222939"/>
  </r>
  <r>
    <x v="258"/>
    <x v="4"/>
    <x v="4"/>
    <x v="3"/>
    <x v="2"/>
    <s v="20250725T130544769"/>
    <n v="0"/>
    <s v="decomposedRandom"/>
    <n v="87.003727225163431"/>
    <s v="20250725 13:05:44"/>
    <n v="0"/>
    <n v="20.69352797121196"/>
    <n v="3600.5479999999998"/>
    <n v="66.310199253951467"/>
  </r>
  <r>
    <x v="259"/>
    <x v="4"/>
    <x v="4"/>
    <x v="4"/>
    <x v="2"/>
    <s v="20250725T131139068"/>
    <n v="0"/>
    <s v="decomposedRandom"/>
    <n v="101.63075144945441"/>
    <s v="20250725 13:11:39"/>
    <n v="0"/>
    <n v="53.398171015742548"/>
    <n v="3600.319"/>
    <n v="48.23258043371186"/>
  </r>
  <r>
    <x v="260"/>
    <x v="5"/>
    <x v="1"/>
    <x v="0"/>
    <x v="2"/>
    <s v="20250725T131246430"/>
    <n v="0"/>
    <s v="decomposedRandom"/>
    <n v="205.52730270642888"/>
    <s v="20250725 13:12:46"/>
    <n v="0"/>
    <n v="122.95429208630105"/>
    <n v="3600.1489999999999"/>
    <n v="82.573010620127832"/>
  </r>
  <r>
    <x v="261"/>
    <x v="5"/>
    <x v="1"/>
    <x v="1"/>
    <x v="2"/>
    <s v="20250725T134035116"/>
    <n v="0"/>
    <s v="decomposedRandom"/>
    <n v="183.35574935965286"/>
    <s v="20250725 13:40:35"/>
    <n v="0"/>
    <n v="93.348075569334938"/>
    <n v="3600.98"/>
    <n v="90.007673790317909"/>
  </r>
  <r>
    <x v="262"/>
    <x v="5"/>
    <x v="1"/>
    <x v="2"/>
    <x v="2"/>
    <s v="20250725T134035357"/>
    <n v="0"/>
    <s v="decomposedRandom"/>
    <n v="81.954710528450846"/>
    <s v="20250725 13:40:35"/>
    <n v="0"/>
    <n v="19.92851570238291"/>
    <n v="3601.0549999999998"/>
    <n v="62.026194826067943"/>
  </r>
  <r>
    <x v="263"/>
    <x v="5"/>
    <x v="1"/>
    <x v="3"/>
    <x v="2"/>
    <s v="20250725T134035619"/>
    <n v="0"/>
    <s v="decomposedRandom"/>
    <n v="80.556133737701046"/>
    <s v="20250725 13:40:35"/>
    <n v="0"/>
    <n v="15.194663018418055"/>
    <n v="3600.598"/>
    <n v="65.361470719282991"/>
  </r>
  <r>
    <x v="264"/>
    <x v="5"/>
    <x v="1"/>
    <x v="4"/>
    <x v="2"/>
    <s v="20250725T134035660"/>
    <n v="0"/>
    <s v="decomposedRandom"/>
    <n v="151.27740877651684"/>
    <s v="20250725 13:40:35"/>
    <n v="0"/>
    <n v="64.148326247321961"/>
    <n v="3600.4659999999999"/>
    <n v="87.129082529194861"/>
  </r>
  <r>
    <x v="265"/>
    <x v="8"/>
    <x v="3"/>
    <x v="0"/>
    <x v="2"/>
    <s v="20250725T134035693"/>
    <n v="0"/>
    <s v="decomposedRandom"/>
    <n v="392.24324042638239"/>
    <s v="20250725 13:40:35"/>
    <n v="0"/>
    <n v="155.91535586059547"/>
    <n v="3601.25"/>
    <n v="236.32788456578689"/>
  </r>
  <r>
    <x v="266"/>
    <x v="8"/>
    <x v="3"/>
    <x v="1"/>
    <x v="2"/>
    <s v="20250725T134035817"/>
    <n v="0"/>
    <s v="decomposedRandom"/>
    <n v="573.5194773302303"/>
    <s v="20250725 13:40:35"/>
    <n v="0"/>
    <n v="325.05645843611995"/>
    <n v="3600.75"/>
    <n v="248.46301889411035"/>
  </r>
  <r>
    <x v="267"/>
    <x v="8"/>
    <x v="3"/>
    <x v="2"/>
    <x v="2"/>
    <s v="20250725T134036523"/>
    <n v="0"/>
    <s v="decomposedRandom"/>
    <n v="385.69985569597918"/>
    <s v="20250725 13:40:36"/>
    <n v="0"/>
    <n v="169.56936088641496"/>
    <n v="3620.7750000000001"/>
    <n v="216.13049480956423"/>
  </r>
  <r>
    <x v="268"/>
    <x v="8"/>
    <x v="3"/>
    <x v="3"/>
    <x v="2"/>
    <s v="20250725T135450142"/>
    <n v="20"/>
    <s v="decomposedRandom"/>
    <n v="619.93771405844745"/>
    <s v="20250725 13:54:50"/>
    <n v="0"/>
    <n v="348.77967410767474"/>
    <n v="3601.17"/>
    <n v="251.15803995077277"/>
  </r>
  <r>
    <x v="269"/>
    <x v="8"/>
    <x v="3"/>
    <x v="4"/>
    <x v="2"/>
    <s v="20250725T140545320"/>
    <n v="20"/>
    <s v="decomposedRandom"/>
    <n v="545.05236410620807"/>
    <s v="20250725 14:05:45"/>
    <n v="0"/>
    <n v="287.24097062037288"/>
    <n v="3600.95"/>
    <n v="237.8113934858352"/>
  </r>
  <r>
    <x v="270"/>
    <x v="6"/>
    <x v="5"/>
    <x v="0"/>
    <x v="2"/>
    <s v="20250725T141139392"/>
    <n v="20"/>
    <s v="decomposedRandom"/>
    <n v="838.07381999538552"/>
    <s v="20250725 14:11:39"/>
    <n v="0"/>
    <n v="362.33162982766538"/>
    <n v="3601.5070000000001"/>
    <n v="455.74219016772008"/>
  </r>
  <r>
    <x v="271"/>
    <x v="6"/>
    <x v="5"/>
    <x v="1"/>
    <x v="2"/>
    <s v="20250725T141246581"/>
    <n v="40"/>
    <s v="decomposedRandom"/>
    <n v="968.81097812557516"/>
    <s v="20250725 14:12:46"/>
    <n v="0"/>
    <n v="490.06088065081508"/>
    <n v="3601.7339999999999"/>
    <n v="438.75009747476008"/>
  </r>
  <r>
    <x v="272"/>
    <x v="6"/>
    <x v="5"/>
    <x v="2"/>
    <x v="2"/>
    <s v="20250725T144036099"/>
    <n v="40"/>
    <s v="decomposedRandom"/>
    <n v="938.57674353531115"/>
    <s v="20250725 14:40:36"/>
    <n v="0"/>
    <n v="464.88981002732481"/>
    <n v="3601.12"/>
    <n v="433.6869335079864"/>
  </r>
  <r>
    <x v="273"/>
    <x v="6"/>
    <x v="5"/>
    <x v="3"/>
    <x v="2"/>
    <s v="20250725T144036129"/>
    <n v="20"/>
    <s v="decomposedRandom"/>
    <n v="826.38646171932078"/>
    <s v="20250725 14:40:36"/>
    <n v="0"/>
    <n v="377.55824444076848"/>
    <n v="3602.25"/>
    <n v="428.8282172785523"/>
  </r>
  <r>
    <x v="274"/>
    <x v="6"/>
    <x v="5"/>
    <x v="4"/>
    <x v="2"/>
    <s v="20250725T144036220"/>
    <n v="40"/>
    <s v="decomposedRandom"/>
    <n v="881.82858680770642"/>
    <s v="20250725 14:40:36"/>
    <n v="0"/>
    <n v="418.72338575250984"/>
    <n v="3600.8939999999998"/>
    <n v="423.10520105519663"/>
  </r>
  <r>
    <x v="275"/>
    <x v="7"/>
    <x v="6"/>
    <x v="0"/>
    <x v="2"/>
    <s v="20250725T144036414"/>
    <n v="40"/>
    <s v="decomposedRandom"/>
    <n v="1185.9361243671656"/>
    <s v="20250725 14:40:36"/>
    <n v="0"/>
    <n v="466.65040628063679"/>
    <n v="3602.19"/>
    <n v="679.28571808652885"/>
  </r>
  <r>
    <x v="276"/>
    <x v="7"/>
    <x v="6"/>
    <x v="1"/>
    <x v="2"/>
    <s v="20250725T144036572"/>
    <n v="60"/>
    <s v="decomposedRandom"/>
    <n v="1357.1002507248209"/>
    <s v="20250725 14:40:36"/>
    <n v="0"/>
    <n v="628.68321131842765"/>
    <n v="3602.22"/>
    <n v="668.41703940639309"/>
  </r>
  <r>
    <x v="277"/>
    <x v="7"/>
    <x v="6"/>
    <x v="2"/>
    <x v="2"/>
    <s v="20250725T144036946"/>
    <n v="20"/>
    <s v="decomposedRandom"/>
    <n v="1206.1640576522345"/>
    <s v="20250725 14:40:36"/>
    <n v="0"/>
    <n v="493.5686614070645"/>
    <n v="3600.9380000000001"/>
    <n v="692.59539624517004"/>
  </r>
  <r>
    <x v="278"/>
    <x v="7"/>
    <x v="6"/>
    <x v="3"/>
    <x v="2"/>
    <s v="20250725T144057301"/>
    <n v="40"/>
    <s v="decomposedRandom"/>
    <n v="1294.1472189234028"/>
    <s v="20250725 14:40:57"/>
    <n v="0"/>
    <n v="530.3606589572754"/>
    <n v="3601.1509999999998"/>
    <n v="723.78655996612747"/>
  </r>
  <r>
    <x v="279"/>
    <x v="7"/>
    <x v="6"/>
    <x v="4"/>
    <x v="2"/>
    <s v="20250725T145451316"/>
    <n v="40"/>
    <s v="decomposedRandom"/>
    <n v="1522.8850298446728"/>
    <s v="20250725 14:54:51"/>
    <n v="0"/>
    <n v="805.77315693937271"/>
    <n v="3601.748"/>
    <n v="677.11187290529995"/>
  </r>
  <r>
    <x v="280"/>
    <x v="9"/>
    <x v="7"/>
    <x v="0"/>
    <x v="2"/>
    <s v="20250725T150546275"/>
    <n v="40"/>
    <s v="decomposedRandom"/>
    <n v="1808.504776624859"/>
    <s v="20250725 15:05:46"/>
    <n v="0"/>
    <n v="811.31346567989658"/>
    <n v="3601.7579999999998"/>
    <n v="957.19131094496231"/>
  </r>
  <r>
    <x v="281"/>
    <x v="9"/>
    <x v="7"/>
    <x v="1"/>
    <x v="2"/>
    <s v="20250725T151140904"/>
    <n v="40"/>
    <s v="decomposedRandom"/>
    <n v="1870.8345061643877"/>
    <s v="20250725 15:11:40"/>
    <n v="0"/>
    <n v="817.37588063465228"/>
    <n v="3601.056"/>
    <n v="1013.4586255297353"/>
  </r>
  <r>
    <x v="282"/>
    <x v="9"/>
    <x v="7"/>
    <x v="2"/>
    <x v="2"/>
    <s v="20250725T151248320"/>
    <n v="40"/>
    <s v="decomposedRandom"/>
    <n v="1785.0699662950683"/>
    <s v="20250725 15:12:48"/>
    <n v="0"/>
    <n v="772.4983528303859"/>
    <n v="3601.57"/>
    <n v="972.57161346468229"/>
  </r>
  <r>
    <x v="283"/>
    <x v="9"/>
    <x v="7"/>
    <x v="3"/>
    <x v="2"/>
    <s v="20250725T154037122"/>
    <n v="20"/>
    <s v="decomposedRandom"/>
    <n v="1778.3801416381457"/>
    <s v="20250725 15:40:37"/>
    <n v="0"/>
    <n v="791.12986507229448"/>
    <n v="3601.64"/>
    <n v="967.25027656585132"/>
  </r>
  <r>
    <x v="284"/>
    <x v="9"/>
    <x v="7"/>
    <x v="4"/>
    <x v="2"/>
    <s v="20250725T154037226"/>
    <n v="40"/>
    <s v="decomposedRandom"/>
    <n v="1778.2686432416299"/>
    <s v="20250725 15:40:37"/>
    <n v="0"/>
    <n v="776.21154441926842"/>
    <n v="3601.259"/>
    <n v="962.05709882236158"/>
  </r>
  <r>
    <x v="285"/>
    <x v="0"/>
    <x v="0"/>
    <x v="0"/>
    <x v="3"/>
    <s v="20250828T200702325"/>
    <n v="0"/>
    <s v="localRefinement"/>
    <n v="16.943320957822436"/>
    <s v="20250828 20:07:02"/>
    <n v="0"/>
    <n v="13.65585150405872"/>
    <n v="3600.337"/>
    <n v="3.2874694537637179"/>
  </r>
  <r>
    <x v="286"/>
    <x v="0"/>
    <x v="0"/>
    <x v="1"/>
    <x v="3"/>
    <s v="20250828T200702325"/>
    <n v="0"/>
    <s v="localRefinement"/>
    <n v="18.971950064393521"/>
    <s v="20250828 20:07:02"/>
    <n v="0"/>
    <n v="15.191026988511776"/>
    <n v="3600.3429999999998"/>
    <n v="3.7809230758817449"/>
  </r>
  <r>
    <x v="287"/>
    <x v="0"/>
    <x v="0"/>
    <x v="2"/>
    <x v="3"/>
    <s v="20250828T200702325"/>
    <n v="0"/>
    <s v="localRefinement"/>
    <n v="1.3297937619041584"/>
    <s v="20250828 20:07:02"/>
    <n v="0"/>
    <n v="0"/>
    <n v="3600.36"/>
    <n v="1.3297937619041584"/>
  </r>
  <r>
    <x v="288"/>
    <x v="0"/>
    <x v="0"/>
    <x v="3"/>
    <x v="3"/>
    <s v="20250828T200702325"/>
    <n v="0"/>
    <s v="localRefinement"/>
    <n v="2.3378343292147221"/>
    <s v="20250828 20:07:02"/>
    <n v="0"/>
    <n v="0"/>
    <n v="3600.3389999999999"/>
    <n v="2.3378343292147221"/>
  </r>
  <r>
    <x v="289"/>
    <x v="0"/>
    <x v="0"/>
    <x v="4"/>
    <x v="3"/>
    <s v="20250828T200702325"/>
    <n v="0"/>
    <s v="localRefinement"/>
    <n v="2.606612492695735"/>
    <s v="20250828 20:07:02"/>
    <n v="0"/>
    <n v="0"/>
    <n v="3600.335"/>
    <n v="2.606612492695735"/>
  </r>
  <r>
    <x v="290"/>
    <x v="1"/>
    <x v="1"/>
    <x v="1"/>
    <x v="3"/>
    <s v="20250828T200702325"/>
    <n v="0"/>
    <s v="localRefinement"/>
    <n v="43.227547214157255"/>
    <s v="20250828 20:07:02"/>
    <n v="0"/>
    <n v="26.350507023312502"/>
    <n v="3600.8380000000002"/>
    <n v="16.877040190844756"/>
  </r>
  <r>
    <x v="291"/>
    <x v="1"/>
    <x v="1"/>
    <x v="2"/>
    <x v="3"/>
    <s v="20250828T200702325"/>
    <n v="0"/>
    <s v="localRefinement"/>
    <n v="13.47447024115246"/>
    <s v="20250828 20:07:02"/>
    <n v="0"/>
    <n v="0"/>
    <n v="3600.8310000000001"/>
    <n v="13.47447024115246"/>
  </r>
  <r>
    <x v="292"/>
    <x v="1"/>
    <x v="1"/>
    <x v="3"/>
    <x v="3"/>
    <s v="20250828T200702325"/>
    <n v="0"/>
    <s v="localRefinement"/>
    <n v="12.036655691070941"/>
    <s v="20250828 20:07:02"/>
    <n v="0"/>
    <n v="0"/>
    <n v="3600.4490000000001"/>
    <n v="12.036655691070941"/>
  </r>
  <r>
    <x v="293"/>
    <x v="1"/>
    <x v="1"/>
    <x v="4"/>
    <x v="3"/>
    <s v="20250828T200702325"/>
    <n v="0"/>
    <s v="localRefinement"/>
    <n v="25.203123530815883"/>
    <s v="20250828 20:07:02"/>
    <n v="0"/>
    <n v="12.047395139822598"/>
    <n v="3600.9340000000002"/>
    <n v="13.155728390993286"/>
  </r>
  <r>
    <x v="294"/>
    <x v="5"/>
    <x v="1"/>
    <x v="2"/>
    <x v="3"/>
    <s v="20250828T200702325"/>
    <n v="0"/>
    <s v="localRefinement"/>
    <n v="82.123369103067034"/>
    <s v="20250828 20:07:02"/>
    <n v="0"/>
    <n v="19.92851570238291"/>
    <n v="3600.7719999999999"/>
    <n v="62.194853400684131"/>
  </r>
  <r>
    <x v="295"/>
    <x v="2"/>
    <x v="2"/>
    <x v="3"/>
    <x v="3"/>
    <s v="20250828T200702325"/>
    <n v="0"/>
    <s v="localRefinement"/>
    <n v="77.338550379690275"/>
    <s v="20250828 20:07:02"/>
    <n v="0"/>
    <n v="46.4909265366623"/>
    <n v="3600.9780000000001"/>
    <n v="30.847623843027982"/>
  </r>
  <r>
    <x v="296"/>
    <x v="2"/>
    <x v="2"/>
    <x v="4"/>
    <x v="3"/>
    <s v="20250828T200702325"/>
    <n v="0"/>
    <s v="localRefinement"/>
    <n v="52.234047093255441"/>
    <s v="20250828 20:07:02"/>
    <n v="0"/>
    <n v="22.067551654184825"/>
    <n v="3600.8440000000001"/>
    <n v="30.166495439070619"/>
  </r>
  <r>
    <x v="297"/>
    <x v="3"/>
    <x v="3"/>
    <x v="1"/>
    <x v="3"/>
    <s v="20250828T200702325"/>
    <n v="0"/>
    <s v="localRefinement"/>
    <n v="69.285746222289958"/>
    <s v="20250828 20:07:02"/>
    <n v="0"/>
    <n v="25.302197532802765"/>
    <n v="3601.2020000000002"/>
    <n v="43.983548689487201"/>
  </r>
  <r>
    <x v="298"/>
    <x v="3"/>
    <x v="3"/>
    <x v="4"/>
    <x v="3"/>
    <s v="20250828T210702692"/>
    <n v="0"/>
    <s v="localRefinement"/>
    <n v="58.002370167462779"/>
    <s v="20250828 21:07:02"/>
    <n v="0"/>
    <n v="17.936145369461833"/>
    <n v="3600.6660000000002"/>
    <n v="40.066224798000945"/>
  </r>
  <r>
    <x v="299"/>
    <x v="8"/>
    <x v="3"/>
    <x v="0"/>
    <x v="3"/>
    <s v="20250828T210702692"/>
    <n v="0"/>
    <s v="localRefinement"/>
    <n v="395.74065314470579"/>
    <s v="20250828 21:07:02"/>
    <n v="0"/>
    <n v="142.91121133391314"/>
    <n v="3601.2890000000002"/>
    <n v="252.82944181079264"/>
  </r>
  <r>
    <x v="300"/>
    <x v="8"/>
    <x v="3"/>
    <x v="1"/>
    <x v="3"/>
    <s v="20250828T210702692"/>
    <n v="20"/>
    <s v="localRefinement"/>
    <n v="557.12054540663758"/>
    <s v="20250828 21:07:02"/>
    <n v="0"/>
    <n v="263.00950253989646"/>
    <n v="3602.0709999999999"/>
    <n v="274.11104286674117"/>
  </r>
  <r>
    <x v="301"/>
    <x v="8"/>
    <x v="3"/>
    <x v="3"/>
    <x v="3"/>
    <s v="20250828T210702739"/>
    <n v="20"/>
    <s v="localRefinement"/>
    <n v="460.07879426404423"/>
    <s v="20250828 21:07:02"/>
    <n v="0"/>
    <n v="174.77182685369013"/>
    <n v="3601.5"/>
    <n v="265.3069674103541"/>
  </r>
  <r>
    <x v="302"/>
    <x v="4"/>
    <x v="4"/>
    <x v="0"/>
    <x v="3"/>
    <s v="20250828T210702777"/>
    <n v="0"/>
    <s v="localRefinement"/>
    <n v="94.011639795949066"/>
    <s v="20250828 21:07:02"/>
    <n v="0"/>
    <n v="31.399126985604042"/>
    <n v="3600.5940000000001"/>
    <n v="62.612512810345017"/>
  </r>
  <r>
    <x v="303"/>
    <x v="4"/>
    <x v="4"/>
    <x v="1"/>
    <x v="3"/>
    <s v="20250828T210702857"/>
    <n v="0"/>
    <s v="localRefinement"/>
    <n v="94.262193248819628"/>
    <s v="20250828 21:07:02"/>
    <n v="0"/>
    <n v="33.103035532650303"/>
    <n v="3601.058"/>
    <n v="61.159157716169325"/>
  </r>
  <r>
    <x v="304"/>
    <x v="4"/>
    <x v="4"/>
    <x v="3"/>
    <x v="3"/>
    <s v="20250828T210703005"/>
    <n v="0"/>
    <s v="localRefinement"/>
    <n v="79.59087196468667"/>
    <s v="20250828 21:07:03"/>
    <n v="0"/>
    <n v="10.907911271393852"/>
    <n v="3600.4769999999999"/>
    <n v="68.682960693292813"/>
  </r>
  <r>
    <x v="305"/>
    <x v="6"/>
    <x v="5"/>
    <x v="0"/>
    <x v="3"/>
    <s v="20250828T210703128"/>
    <n v="20"/>
    <s v="localRefinement"/>
    <n v="795.96640228855358"/>
    <s v="20250828 21:07:03"/>
    <n v="0"/>
    <n v="322.75030062471268"/>
    <n v="3601.703"/>
    <n v="453.21610166384096"/>
  </r>
  <r>
    <x v="306"/>
    <x v="6"/>
    <x v="5"/>
    <x v="1"/>
    <x v="3"/>
    <s v="20250828T210703159"/>
    <n v="20"/>
    <s v="localRefinement"/>
    <n v="871.66180255462996"/>
    <s v="20250828 21:07:03"/>
    <n v="0"/>
    <n v="403.95921414245186"/>
    <n v="3602.2150000000001"/>
    <n v="447.70258841217816"/>
  </r>
  <r>
    <x v="307"/>
    <x v="6"/>
    <x v="5"/>
    <x v="2"/>
    <x v="3"/>
    <s v="20250828T210703165"/>
    <n v="20"/>
    <s v="localRefinement"/>
    <n v="843.31736514743784"/>
    <s v="20250828 21:07:03"/>
    <n v="0"/>
    <n v="385.99691952890811"/>
    <n v="3602.009"/>
    <n v="437.32044561852973"/>
  </r>
  <r>
    <x v="308"/>
    <x v="6"/>
    <x v="5"/>
    <x v="4"/>
    <x v="3"/>
    <s v="20250828T210703257"/>
    <n v="20"/>
    <s v="localRefinement"/>
    <n v="826.30629055703753"/>
    <s v="20250828 21:07:03"/>
    <n v="0"/>
    <n v="369.32032900804768"/>
    <n v="3601.893"/>
    <n v="436.98596154898979"/>
  </r>
  <r>
    <x v="309"/>
    <x v="7"/>
    <x v="6"/>
    <x v="2"/>
    <x v="3"/>
    <s v="20250828T210703322"/>
    <n v="40"/>
    <s v="localRefinement"/>
    <n v="1103.8130311153229"/>
    <s v="20250828 21:07:03"/>
    <n v="0"/>
    <n v="379.70986036975955"/>
    <n v="3602.4029999999998"/>
    <n v="684.10317074556338"/>
  </r>
  <r>
    <x v="310"/>
    <x v="7"/>
    <x v="6"/>
    <x v="4"/>
    <x v="3"/>
    <s v="20250828T210703529"/>
    <n v="40"/>
    <s v="localRefinement"/>
    <n v="1522.8850298446728"/>
    <s v="20250828 21:07:03"/>
    <n v="0"/>
    <n v="805.77315693937271"/>
    <n v="3602.3339999999998"/>
    <n v="677.11187290529995"/>
  </r>
  <r>
    <x v="311"/>
    <x v="9"/>
    <x v="7"/>
    <x v="0"/>
    <x v="3"/>
    <s v="20250828T210703602"/>
    <n v="40"/>
    <s v="localRefinement"/>
    <n v="1808.504776624859"/>
    <s v="20250828 21:07:03"/>
    <n v="0"/>
    <n v="811.31346567989658"/>
    <n v="3602.6610000000001"/>
    <n v="957.19131094496231"/>
  </r>
  <r>
    <x v="312"/>
    <x v="9"/>
    <x v="7"/>
    <x v="1"/>
    <x v="3"/>
    <s v="20250828T220703127"/>
    <n v="500"/>
    <s v="localRefinement"/>
    <n v="1806.8736767050932"/>
    <s v="20250828 22:07:03"/>
    <n v="0"/>
    <n v="292.74411381259119"/>
    <n v="3654.16"/>
    <n v="1014.1295628925021"/>
  </r>
  <r>
    <x v="313"/>
    <x v="9"/>
    <x v="7"/>
    <x v="2"/>
    <x v="3"/>
    <s v="20250828T220703367"/>
    <n v="40"/>
    <s v="localRefinement"/>
    <n v="1668.1511893892016"/>
    <s v="20250828 22:07:03"/>
    <n v="0"/>
    <n v="654.6136068484268"/>
    <n v="3602.0509999999999"/>
    <n v="973.53758254077468"/>
  </r>
  <r>
    <x v="314"/>
    <x v="0"/>
    <x v="0"/>
    <x v="0"/>
    <x v="1"/>
    <s v="20250830T185232520"/>
    <n v="0"/>
    <s v="cplexIntegrated"/>
    <n v="19.113158371209611"/>
    <s v="20250830 18:52:32"/>
    <n v="0"/>
    <n v="13.65585150405872"/>
    <n v="2.371"/>
    <n v="5.4573068671508906"/>
  </r>
  <r>
    <x v="315"/>
    <x v="0"/>
    <x v="0"/>
    <x v="1"/>
    <x v="1"/>
    <s v="20250830T185232520"/>
    <n v="0"/>
    <s v="cplexIntegrated"/>
    <n v="22.152430125032964"/>
    <s v="20250830 18:52:32"/>
    <n v="0"/>
    <n v="15.191026988511776"/>
    <n v="5.5919999999999996"/>
    <n v="6.9614031365211897"/>
  </r>
  <r>
    <x v="316"/>
    <x v="0"/>
    <x v="0"/>
    <x v="2"/>
    <x v="1"/>
    <s v="20250830T185232520"/>
    <n v="0"/>
    <s v="cplexIntegrated"/>
    <n v="2.3320333963418576"/>
    <s v="20250830 18:52:32"/>
    <n v="0"/>
    <n v="0"/>
    <n v="0.94899999999999995"/>
    <n v="2.3320333963418576"/>
  </r>
  <r>
    <x v="317"/>
    <x v="0"/>
    <x v="0"/>
    <x v="3"/>
    <x v="1"/>
    <s v="20250830T185232520"/>
    <n v="0"/>
    <s v="cplexIntegrated"/>
    <n v="3.968250290840007"/>
    <s v="20250830 18:52:32"/>
    <n v="0"/>
    <n v="0"/>
    <n v="2.9590000000000001"/>
    <n v="3.968250290840007"/>
  </r>
  <r>
    <x v="318"/>
    <x v="0"/>
    <x v="0"/>
    <x v="4"/>
    <x v="1"/>
    <s v="20250830T185232520"/>
    <n v="0"/>
    <s v="cplexIntegrated"/>
    <n v="3.7929994136695395"/>
    <s v="20250830 18:52:32"/>
    <n v="0"/>
    <n v="0"/>
    <n v="2.363"/>
    <n v="3.7929994136695395"/>
  </r>
  <r>
    <x v="319"/>
    <x v="1"/>
    <x v="1"/>
    <x v="0"/>
    <x v="1"/>
    <s v="20250830T185232520"/>
    <n v="0"/>
    <s v="cplexIntegrated"/>
    <n v="39.75575014615066"/>
    <s v="20250830 18:52:32"/>
    <n v="9.2982352704836868E-4"/>
    <n v="15.017573519538377"/>
    <n v="3602.5889999999999"/>
    <n v="24.738176626612283"/>
  </r>
  <r>
    <x v="320"/>
    <x v="1"/>
    <x v="1"/>
    <x v="1"/>
    <x v="1"/>
    <s v="20250830T185232520"/>
    <n v="0"/>
    <s v="cplexIntegrated"/>
    <n v="41.555424227173049"/>
    <s v="20250830 18:52:32"/>
    <n v="8.2186408665249551E-5"/>
    <n v="15.435811686593444"/>
    <n v="231.89699999999999"/>
    <n v="26.119612540579602"/>
  </r>
  <r>
    <x v="321"/>
    <x v="1"/>
    <x v="1"/>
    <x v="2"/>
    <x v="1"/>
    <s v="20250830T185232520"/>
    <n v="0"/>
    <s v="cplexIntegrated"/>
    <n v="19.740402093227388"/>
    <s v="20250830 18:52:32"/>
    <n v="0"/>
    <n v="0"/>
    <n v="989.154"/>
    <n v="19.740402093227388"/>
  </r>
  <r>
    <x v="322"/>
    <x v="1"/>
    <x v="1"/>
    <x v="3"/>
    <x v="1"/>
    <s v="20250830T185232520"/>
    <n v="0"/>
    <s v="cplexIntegrated"/>
    <n v="22.758820843048195"/>
    <s v="20250830 18:52:32"/>
    <n v="4.9312486298519831E-3"/>
    <n v="2.6049284085366962"/>
    <n v="3602.346"/>
    <n v="20.153892434511498"/>
  </r>
  <r>
    <x v="323"/>
    <x v="1"/>
    <x v="1"/>
    <x v="4"/>
    <x v="1"/>
    <s v="20250830T185232520"/>
    <n v="0"/>
    <s v="cplexIntegrated"/>
    <n v="34.061136441961978"/>
    <s v="20250830 18:52:32"/>
    <n v="4.2492967141097605E-3"/>
    <n v="12.047395139822598"/>
    <n v="3602.2869999999998"/>
    <n v="22.01374130213938"/>
  </r>
  <r>
    <x v="324"/>
    <x v="2"/>
    <x v="2"/>
    <x v="0"/>
    <x v="1"/>
    <s v="20250830T185233477"/>
    <n v="20"/>
    <s v="cplexIntegrated"/>
    <n v="1014.7879161034551"/>
    <s v="20250830 18:52:33"/>
    <n v="0.9389149759851948"/>
    <n v="928.48200960192048"/>
    <n v="3603.9670000000001"/>
    <n v="66.305906501534665"/>
  </r>
  <r>
    <x v="325"/>
    <x v="2"/>
    <x v="2"/>
    <x v="1"/>
    <x v="1"/>
    <s v="20250830T185234885"/>
    <n v="0"/>
    <s v="cplexIntegrated"/>
    <n v="95.440574519140924"/>
    <s v="20250830 18:52:34"/>
    <n v="0.3895097337473144"/>
    <n v="52.463225409844"/>
    <n v="3604.4659999999999"/>
    <n v="42.977349109296924"/>
  </r>
  <r>
    <x v="326"/>
    <x v="2"/>
    <x v="2"/>
    <x v="2"/>
    <x v="1"/>
    <s v="20250830T185234893"/>
    <n v="0"/>
    <s v="cplexIntegrated"/>
    <n v="600.59706196367097"/>
    <s v="20250830 18:52:34"/>
    <n v="0.90848977795193386"/>
    <n v="538.83700134937135"/>
    <n v="3604.3960000000002"/>
    <n v="61.760060614299675"/>
  </r>
  <r>
    <x v="327"/>
    <x v="2"/>
    <x v="2"/>
    <x v="3"/>
    <x v="1"/>
    <s v="20250830T185235481"/>
    <n v="0"/>
    <s v="cplexIntegrated"/>
    <n v="79.090030546070395"/>
    <s v="20250830 18:52:35"/>
    <n v="0.30597889132136707"/>
    <n v="35.919588730635482"/>
    <n v="3604.24"/>
    <n v="43.170441815434913"/>
  </r>
  <r>
    <x v="328"/>
    <x v="2"/>
    <x v="2"/>
    <x v="4"/>
    <x v="1"/>
    <s v="20250830T185238114"/>
    <n v="0"/>
    <s v="cplexIntegrated"/>
    <n v="62.581996299609436"/>
    <s v="20250830 18:52:38"/>
    <n v="1.7105361952066238E-3"/>
    <n v="9.5620044166382758"/>
    <n v="3603.3629999999998"/>
    <n v="53.019991882971162"/>
  </r>
  <r>
    <x v="329"/>
    <x v="5"/>
    <x v="1"/>
    <x v="0"/>
    <x v="1"/>
    <s v="20250830T185624421"/>
    <n v="40"/>
    <s v="cplexIntegrated"/>
    <n v="3871.6275880056887"/>
    <s v="20250830 18:56:24"/>
    <n v="0.98971554215165969"/>
    <n v="3677.0962419227162"/>
    <n v="3605.3710000000001"/>
    <n v="154.5313460829725"/>
  </r>
  <r>
    <x v="330"/>
    <x v="5"/>
    <x v="1"/>
    <x v="2"/>
    <x v="1"/>
    <s v="20250830T195234811"/>
    <n v="0"/>
    <s v="cplexIntegrated"/>
    <n v="119.32010848375801"/>
    <s v="20250830 19:52:34"/>
    <n v="0.12388114625314924"/>
    <n v="15.04688419933338"/>
    <n v="3607.91"/>
    <n v="104.27322428442463"/>
  </r>
  <r>
    <x v="331"/>
    <x v="5"/>
    <x v="1"/>
    <x v="3"/>
    <x v="1"/>
    <s v="20250830T195234869"/>
    <n v="0"/>
    <s v="cplexIntegrated"/>
    <n v="123.47105454834295"/>
    <s v="20250830 19:52:34"/>
    <n v="7.6427265279512158E-2"/>
    <n v="18.216060585617786"/>
    <n v="3606.4810000000002"/>
    <n v="105.25499396272517"/>
  </r>
  <r>
    <x v="332"/>
    <x v="5"/>
    <x v="1"/>
    <x v="4"/>
    <x v="1"/>
    <s v="20250830T195235112"/>
    <n v="80"/>
    <s v="cplexIntegrated"/>
    <n v="3862.8415668764387"/>
    <s v="20250830 19:52:35"/>
    <n v="0.98817092856988731"/>
    <n v="3606.0808732848154"/>
    <n v="3606.9690000000001"/>
    <n v="176.7606935916231"/>
  </r>
  <r>
    <x v="333"/>
    <x v="3"/>
    <x v="3"/>
    <x v="0"/>
    <x v="1"/>
    <s v="20250830T195237446"/>
    <n v="40"/>
    <s v="cplexIntegrated"/>
    <n v="1779.0503180665351"/>
    <s v="20250830 19:52:37"/>
    <n v="0.99645958548608748"/>
    <n v="1634.565826865452"/>
    <n v="3610.1039999999998"/>
    <n v="104.48449120108297"/>
  </r>
  <r>
    <x v="334"/>
    <x v="3"/>
    <x v="3"/>
    <x v="1"/>
    <x v="1"/>
    <s v="20250830T195239292"/>
    <n v="40"/>
    <s v="cplexIntegrated"/>
    <n v="1485.9867313469467"/>
    <s v="20250830 19:52:39"/>
    <n v="0.99564039637029755"/>
    <n v="1339.1586059643037"/>
    <n v="3611.018"/>
    <n v="106.82812538264318"/>
  </r>
  <r>
    <x v="335"/>
    <x v="3"/>
    <x v="3"/>
    <x v="2"/>
    <x v="1"/>
    <s v="20250830T195239353"/>
    <n v="60"/>
    <s v="cplexIntegrated"/>
    <n v="1361.0478745513392"/>
    <s v="20250830 19:52:39"/>
    <n v="0.99625957088498274"/>
    <n v="1202.5589931638447"/>
    <n v="3609.8649999999998"/>
    <n v="98.488881387494629"/>
  </r>
  <r>
    <x v="336"/>
    <x v="3"/>
    <x v="3"/>
    <x v="3"/>
    <x v="1"/>
    <s v="20250830T195239723"/>
    <n v="60"/>
    <s v="cplexIntegrated"/>
    <n v="1390.0675692228908"/>
    <s v="20250830 19:52:39"/>
    <n v="0.99647376277875233"/>
    <n v="1222.7067611754871"/>
    <n v="3609.3989999999999"/>
    <n v="107.36080804740371"/>
  </r>
  <r>
    <x v="337"/>
    <x v="3"/>
    <x v="3"/>
    <x v="4"/>
    <x v="1"/>
    <s v="20250830T195241480"/>
    <n v="20"/>
    <s v="cplexIntegrated"/>
    <n v="1279.3915889633035"/>
    <s v="20250830 19:52:41"/>
    <n v="0.99585741574248532"/>
    <n v="1144.8039217868645"/>
    <n v="3609.1010000000001"/>
    <n v="114.58766717643908"/>
  </r>
  <r>
    <x v="338"/>
    <x v="4"/>
    <x v="4"/>
    <x v="0"/>
    <x v="1"/>
    <s v="20250830T195629795"/>
    <n v="40"/>
    <s v="cplexIntegrated"/>
    <n v="1557.924887939429"/>
    <s v="20250830 19:56:29"/>
    <n v="0.99597098123196848"/>
    <n v="1370.8169113875263"/>
    <n v="3646.7049999999999"/>
    <n v="147.10797655190274"/>
  </r>
  <r>
    <x v="339"/>
    <x v="4"/>
    <x v="4"/>
    <x v="1"/>
    <x v="1"/>
    <s v="20250830T200907769"/>
    <n v="60"/>
    <s v="cplexIntegrated"/>
    <n v="2042.2429125479177"/>
    <s v="20250830 20:09:07"/>
    <n v="0.9957398768016934"/>
    <n v="1818.996034851752"/>
    <n v="3631.9079999999999"/>
    <n v="163.24687769616571"/>
  </r>
  <r>
    <x v="340"/>
    <x v="4"/>
    <x v="4"/>
    <x v="3"/>
    <x v="1"/>
    <s v="20250830T205242084"/>
    <n v="20"/>
    <s v="cplexIntegrated"/>
    <n v="1739.4908310619167"/>
    <s v="20250830 20:52:42"/>
    <n v="0.99618450899777244"/>
    <n v="1570.0039627964061"/>
    <n v="3726.3240000000001"/>
    <n v="149.48686826551051"/>
  </r>
  <r>
    <x v="341"/>
    <x v="4"/>
    <x v="4"/>
    <x v="4"/>
    <x v="1"/>
    <s v="20250830T205242725"/>
    <n v="40"/>
    <s v="cplexIntegrated"/>
    <n v="2277.3518530847882"/>
    <s v="20250830 20:52:42"/>
    <n v="0.99611577488207981"/>
    <n v="2049.2946867152591"/>
    <n v="3725.6329999999998"/>
    <n v="188.05716636952914"/>
  </r>
  <r>
    <x v="342"/>
    <x v="0"/>
    <x v="0"/>
    <x v="0"/>
    <x v="0"/>
    <s v="20250831T021148494"/>
    <n v="0"/>
    <s v="decomposedNeighborhoodSearch"/>
    <n v="19.120358371209612"/>
    <s v="20250831 02:11:48"/>
    <n v="0"/>
    <n v="13.65585150405872"/>
    <n v="784.38"/>
    <n v="5.4645068671508898"/>
  </r>
  <r>
    <x v="343"/>
    <x v="0"/>
    <x v="0"/>
    <x v="1"/>
    <x v="0"/>
    <s v="20250831T021148494"/>
    <n v="0"/>
    <s v="decomposedNeighborhoodSearch"/>
    <n v="22.152430125032968"/>
    <s v="20250831 02:11:48"/>
    <n v="0"/>
    <n v="15.191026988511776"/>
    <n v="1784.1759999999999"/>
    <n v="6.9614031365211906"/>
  </r>
  <r>
    <x v="344"/>
    <x v="0"/>
    <x v="0"/>
    <x v="2"/>
    <x v="0"/>
    <s v="20250831T021148494"/>
    <n v="0"/>
    <s v="decomposedNeighborhoodSearch"/>
    <n v="2.3320333963418576"/>
    <s v="20250831 02:11:48"/>
    <n v="0"/>
    <n v="0"/>
    <n v="135.89400000000001"/>
    <n v="2.3320333963418576"/>
  </r>
  <r>
    <x v="345"/>
    <x v="0"/>
    <x v="0"/>
    <x v="3"/>
    <x v="0"/>
    <s v="20250831T021148494"/>
    <n v="0"/>
    <s v="decomposedNeighborhoodSearch"/>
    <n v="3.9682502908400066"/>
    <s v="20250831 02:11:48"/>
    <n v="0"/>
    <n v="0"/>
    <n v="750.221"/>
    <n v="3.9682502908400066"/>
  </r>
  <r>
    <x v="346"/>
    <x v="0"/>
    <x v="0"/>
    <x v="0"/>
    <x v="3"/>
    <s v="20250831T021208641"/>
    <n v="0"/>
    <s v="localRefinement"/>
    <n v="19.258658371209609"/>
    <s v="20250831 02:12:08"/>
    <n v="0"/>
    <n v="13.65585150405872"/>
    <n v="3600.0439999999999"/>
    <n v="5.6028068671508899"/>
  </r>
  <r>
    <x v="347"/>
    <x v="0"/>
    <x v="0"/>
    <x v="1"/>
    <x v="3"/>
    <s v="20250831T021208641"/>
    <n v="0"/>
    <s v="localRefinement"/>
    <n v="22.280530125032968"/>
    <s v="20250831 02:12:08"/>
    <n v="0"/>
    <n v="15.191026988511776"/>
    <n v="3600.0610000000001"/>
    <n v="7.0895031365211914"/>
  </r>
  <r>
    <x v="348"/>
    <x v="0"/>
    <x v="0"/>
    <x v="2"/>
    <x v="3"/>
    <s v="20250831T021208641"/>
    <n v="0"/>
    <s v="localRefinement"/>
    <n v="2.3320333963418576"/>
    <s v="20250831 02:12:08"/>
    <n v="0"/>
    <n v="0"/>
    <n v="3600.0509999999999"/>
    <n v="2.3320333963418576"/>
  </r>
  <r>
    <x v="349"/>
    <x v="0"/>
    <x v="0"/>
    <x v="3"/>
    <x v="3"/>
    <s v="20250831T021208641"/>
    <n v="0"/>
    <s v="localRefinement"/>
    <n v="4.0180502908400069"/>
    <s v="20250831 02:12:08"/>
    <n v="0"/>
    <n v="0"/>
    <n v="3600.0450000000001"/>
    <n v="4.0180502908400069"/>
  </r>
  <r>
    <x v="350"/>
    <x v="0"/>
    <x v="0"/>
    <x v="0"/>
    <x v="2"/>
    <s v="20250831T021232464"/>
    <n v="0"/>
    <s v="decomposedRandom"/>
    <n v="19.113158371209611"/>
    <s v="20250831 02:12:32"/>
    <n v="0"/>
    <n v="13.65585150405872"/>
    <n v="1551.1289999999999"/>
    <n v="5.4573068671508898"/>
  </r>
  <r>
    <x v="351"/>
    <x v="0"/>
    <x v="0"/>
    <x v="1"/>
    <x v="2"/>
    <s v="20250831T021232464"/>
    <n v="0"/>
    <s v="decomposedRandom"/>
    <n v="22.152430125032968"/>
    <s v="20250831 02:12:32"/>
    <n v="0"/>
    <n v="15.191026988511776"/>
    <n v="3600.0659999999998"/>
    <n v="6.9614031365211906"/>
  </r>
  <r>
    <x v="352"/>
    <x v="0"/>
    <x v="0"/>
    <x v="2"/>
    <x v="2"/>
    <s v="20250831T021232464"/>
    <n v="0"/>
    <s v="decomposedRandom"/>
    <n v="2.3320333963418576"/>
    <s v="20250831 02:12:32"/>
    <n v="0"/>
    <n v="0"/>
    <n v="636.81399999999996"/>
    <n v="2.3320333963418576"/>
  </r>
  <r>
    <x v="353"/>
    <x v="0"/>
    <x v="0"/>
    <x v="3"/>
    <x v="2"/>
    <s v="20250831T021232464"/>
    <n v="0"/>
    <s v="decomposedRandom"/>
    <n v="3.968250290840007"/>
    <s v="20250831 02:12:32"/>
    <n v="0"/>
    <n v="0"/>
    <n v="2002.5530000000001"/>
    <n v="3.968250290840007"/>
  </r>
  <r>
    <x v="354"/>
    <x v="0"/>
    <x v="0"/>
    <x v="4"/>
    <x v="0"/>
    <s v="20250831T021404398"/>
    <n v="0"/>
    <s v="decomposedNeighborhoodSearch"/>
    <n v="3.7953994136695393"/>
    <s v="20250831 02:14:04"/>
    <n v="0"/>
    <n v="0"/>
    <n v="708.14300000000003"/>
    <n v="3.7953994136695393"/>
  </r>
  <r>
    <x v="355"/>
    <x v="0"/>
    <x v="0"/>
    <x v="4"/>
    <x v="2"/>
    <s v="20250831T022309288"/>
    <n v="0"/>
    <s v="decomposedRandom"/>
    <n v="3.79299941366954"/>
    <s v="20250831 02:23:09"/>
    <n v="0"/>
    <n v="0"/>
    <n v="1898.9760000000001"/>
    <n v="3.79299941366954"/>
  </r>
  <r>
    <x v="356"/>
    <x v="1"/>
    <x v="1"/>
    <x v="0"/>
    <x v="0"/>
    <s v="20250831T022418717"/>
    <n v="0"/>
    <s v="decomposedNeighborhoodSearch"/>
    <n v="40.118458749796645"/>
    <s v="20250831 02:24:18"/>
    <n v="0"/>
    <n v="15.017573519538377"/>
    <n v="3600.4140000000002"/>
    <n v="25.100885230258271"/>
  </r>
  <r>
    <x v="357"/>
    <x v="1"/>
    <x v="1"/>
    <x v="1"/>
    <x v="0"/>
    <s v="20250831T022452876"/>
    <n v="0"/>
    <s v="decomposedNeighborhoodSearch"/>
    <n v="41.898026514197895"/>
    <s v="20250831 02:24:52"/>
    <n v="0"/>
    <n v="15.435811686593444"/>
    <n v="3600.0569999999998"/>
    <n v="26.462214827604452"/>
  </r>
  <r>
    <x v="358"/>
    <x v="1"/>
    <x v="1"/>
    <x v="2"/>
    <x v="0"/>
    <s v="20250831T022552544"/>
    <n v="0"/>
    <s v="decomposedNeighborhoodSearch"/>
    <n v="19.868326224054695"/>
    <s v="20250831 02:25:52"/>
    <n v="0"/>
    <n v="0"/>
    <n v="3600.5169999999998"/>
    <n v="19.868326224054695"/>
  </r>
  <r>
    <x v="359"/>
    <x v="1"/>
    <x v="1"/>
    <x v="0"/>
    <x v="2"/>
    <s v="20250831T023823596"/>
    <n v="0"/>
    <s v="decomposedRandom"/>
    <n v="39.833758749796658"/>
    <s v="20250831 02:38:23"/>
    <n v="0"/>
    <n v="15.017573519538377"/>
    <n v="3600.194"/>
    <n v="24.816185230258284"/>
  </r>
  <r>
    <x v="360"/>
    <x v="1"/>
    <x v="1"/>
    <x v="3"/>
    <x v="0"/>
    <s v="20250831T024132673"/>
    <n v="0"/>
    <s v="decomposedNeighborhoodSearch"/>
    <n v="23.117820147610626"/>
    <s v="20250831 02:41:32"/>
    <n v="0"/>
    <n v="2.6049284085366962"/>
    <n v="3600.1170000000002"/>
    <n v="20.512891739073929"/>
  </r>
  <r>
    <x v="361"/>
    <x v="1"/>
    <x v="1"/>
    <x v="1"/>
    <x v="2"/>
    <s v="20250831T024555019"/>
    <n v="0"/>
    <s v="decomposedRandom"/>
    <n v="41.767224227173052"/>
    <s v="20250831 02:45:55"/>
    <n v="0"/>
    <n v="15.435811686593444"/>
    <n v="3600.1080000000002"/>
    <n v="26.33141254057961"/>
  </r>
  <r>
    <x v="362"/>
    <x v="1"/>
    <x v="1"/>
    <x v="2"/>
    <x v="2"/>
    <s v="20250831T025448266"/>
    <n v="0"/>
    <s v="decomposedRandom"/>
    <n v="19.858726224054692"/>
    <s v="20250831 02:54:48"/>
    <n v="0"/>
    <n v="0"/>
    <n v="3600.058"/>
    <n v="19.858726224054692"/>
  </r>
  <r>
    <x v="363"/>
    <x v="0"/>
    <x v="0"/>
    <x v="4"/>
    <x v="3"/>
    <s v="20250831T031208696"/>
    <n v="0"/>
    <s v="localRefinement"/>
    <n v="3.8475994136695402"/>
    <s v="20250831 03:12:08"/>
    <n v="0"/>
    <n v="0"/>
    <n v="3600.0259999999998"/>
    <n v="3.8475994136695402"/>
  </r>
  <r>
    <x v="364"/>
    <x v="1"/>
    <x v="1"/>
    <x v="0"/>
    <x v="3"/>
    <s v="20250831T031208696"/>
    <n v="0"/>
    <s v="localRefinement"/>
    <n v="39.755750146150675"/>
    <s v="20250831 03:12:08"/>
    <n v="0"/>
    <n v="15.017573519538377"/>
    <n v="3600.107"/>
    <n v="24.738176626612294"/>
  </r>
  <r>
    <x v="365"/>
    <x v="1"/>
    <x v="1"/>
    <x v="1"/>
    <x v="3"/>
    <s v="20250831T031208696"/>
    <n v="0"/>
    <s v="localRefinement"/>
    <n v="41.555424227173042"/>
    <s v="20250831 03:12:08"/>
    <n v="0"/>
    <n v="15.435811686593444"/>
    <n v="3600.12"/>
    <n v="26.119612540579599"/>
  </r>
  <r>
    <x v="366"/>
    <x v="1"/>
    <x v="1"/>
    <x v="2"/>
    <x v="3"/>
    <s v="20250831T031208703"/>
    <n v="0"/>
    <s v="localRefinement"/>
    <n v="19.740402093227392"/>
    <s v="20250831 03:12:08"/>
    <n v="0"/>
    <n v="0"/>
    <n v="3600.0859999999998"/>
    <n v="19.740402093227392"/>
  </r>
  <r>
    <x v="367"/>
    <x v="1"/>
    <x v="1"/>
    <x v="3"/>
    <x v="2"/>
    <s v="20250831T031232532"/>
    <n v="0"/>
    <s v="decomposedRandom"/>
    <n v="23.115855568532133"/>
    <s v="20250831 03:12:32"/>
    <n v="0"/>
    <n v="2.6049284085366962"/>
    <n v="3600.7660000000001"/>
    <n v="20.510927159995436"/>
  </r>
  <r>
    <x v="368"/>
    <x v="1"/>
    <x v="1"/>
    <x v="4"/>
    <x v="0"/>
    <s v="20250831T032419134"/>
    <n v="0"/>
    <s v="decomposedNeighborhoodSearch"/>
    <n v="34.23259926627064"/>
    <s v="20250831 03:24:19"/>
    <n v="0"/>
    <n v="12.047395139822598"/>
    <n v="3600.277"/>
    <n v="22.185204126448042"/>
  </r>
  <r>
    <x v="369"/>
    <x v="2"/>
    <x v="2"/>
    <x v="0"/>
    <x v="0"/>
    <s v="20250831T032452935"/>
    <n v="0"/>
    <s v="decomposedNeighborhoodSearch"/>
    <n v="87.71120226777964"/>
    <s v="20250831 03:24:52"/>
    <n v="0"/>
    <n v="26.382169394360517"/>
    <n v="3600.5259999999998"/>
    <n v="61.329032873419123"/>
  </r>
  <r>
    <x v="370"/>
    <x v="2"/>
    <x v="2"/>
    <x v="1"/>
    <x v="0"/>
    <s v="20250831T032553062"/>
    <n v="0"/>
    <s v="decomposedNeighborhoodSearch"/>
    <n v="75.236867826458607"/>
    <s v="20250831 03:25:53"/>
    <n v="0"/>
    <n v="31.95658859316185"/>
    <n v="3600.5230000000001"/>
    <n v="43.28027923329676"/>
  </r>
  <r>
    <x v="371"/>
    <x v="1"/>
    <x v="1"/>
    <x v="4"/>
    <x v="2"/>
    <s v="20250831T033823793"/>
    <n v="0"/>
    <s v="decomposedRandom"/>
    <n v="34.167917464225027"/>
    <s v="20250831 03:38:23"/>
    <n v="0"/>
    <n v="12.047395139822598"/>
    <n v="3600.085"/>
    <n v="22.120522324402426"/>
  </r>
  <r>
    <x v="372"/>
    <x v="2"/>
    <x v="2"/>
    <x v="2"/>
    <x v="0"/>
    <s v="20250831T034132792"/>
    <n v="0"/>
    <s v="decomposedNeighborhoodSearch"/>
    <n v="78.281067711821493"/>
    <s v="20250831 03:41:32"/>
    <n v="0"/>
    <n v="22.546752927329283"/>
    <n v="3600.2649999999999"/>
    <n v="55.734314784492213"/>
  </r>
  <r>
    <x v="373"/>
    <x v="2"/>
    <x v="2"/>
    <x v="0"/>
    <x v="2"/>
    <s v="20250831T034555129"/>
    <n v="0"/>
    <s v="decomposedRandom"/>
    <n v="87.977597793632953"/>
    <s v="20250831 03:45:55"/>
    <n v="0"/>
    <n v="26.382169394360517"/>
    <n v="3600.0929999999998"/>
    <n v="61.595428399272429"/>
  </r>
  <r>
    <x v="374"/>
    <x v="2"/>
    <x v="2"/>
    <x v="1"/>
    <x v="2"/>
    <s v="20250831T035448325"/>
    <n v="0"/>
    <s v="decomposedRandom"/>
    <n v="75.04042152786279"/>
    <s v="20250831 03:54:48"/>
    <n v="0"/>
    <n v="31.95658859316185"/>
    <n v="3600.08"/>
    <n v="43.083832934700936"/>
  </r>
  <r>
    <x v="375"/>
    <x v="1"/>
    <x v="1"/>
    <x v="3"/>
    <x v="3"/>
    <s v="20250831T041208725"/>
    <n v="0"/>
    <s v="localRefinement"/>
    <n v="22.758820843048209"/>
    <s v="20250831 04:12:08"/>
    <n v="0"/>
    <n v="2.6049284085366962"/>
    <n v="3600.0360000000001"/>
    <n v="20.153892434511512"/>
  </r>
  <r>
    <x v="376"/>
    <x v="1"/>
    <x v="1"/>
    <x v="4"/>
    <x v="3"/>
    <s v="20250831T041208791"/>
    <n v="0"/>
    <s v="localRefinement"/>
    <n v="34.061136441961978"/>
    <s v="20250831 04:12:08"/>
    <n v="0"/>
    <n v="12.047395139822598"/>
    <n v="3600.1149999999998"/>
    <n v="22.01374130213938"/>
  </r>
  <r>
    <x v="377"/>
    <x v="2"/>
    <x v="2"/>
    <x v="0"/>
    <x v="3"/>
    <s v="20250831T041208804"/>
    <n v="0"/>
    <s v="localRefinement"/>
    <n v="91.110922353225533"/>
    <s v="20250831 04:12:08"/>
    <n v="0"/>
    <n v="26.382169394360517"/>
    <n v="3600.239"/>
    <n v="64.728752958865016"/>
  </r>
  <r>
    <x v="378"/>
    <x v="2"/>
    <x v="2"/>
    <x v="1"/>
    <x v="3"/>
    <s v="20250831T041208818"/>
    <n v="0"/>
    <s v="localRefinement"/>
    <n v="74.414072091046691"/>
    <s v="20250831 04:12:08"/>
    <n v="0"/>
    <n v="31.95658859316185"/>
    <n v="3600.2040000000002"/>
    <n v="42.457483497884844"/>
  </r>
  <r>
    <x v="379"/>
    <x v="2"/>
    <x v="2"/>
    <x v="2"/>
    <x v="2"/>
    <s v="20250831T041233300"/>
    <n v="0"/>
    <s v="decomposedRandom"/>
    <n v="85.580124037721163"/>
    <s v="20250831 04:12:33"/>
    <n v="0"/>
    <n v="30.128199596178408"/>
    <n v="3600.6480000000001"/>
    <n v="55.451924441542758"/>
  </r>
  <r>
    <x v="380"/>
    <x v="2"/>
    <x v="2"/>
    <x v="3"/>
    <x v="0"/>
    <s v="20250831T042419412"/>
    <n v="0"/>
    <s v="decomposedNeighborhoodSearch"/>
    <n v="79.823886337707364"/>
    <s v="20250831 04:24:19"/>
    <n v="0"/>
    <n v="35.919588730635482"/>
    <n v="3600.5659999999998"/>
    <n v="43.904297607071889"/>
  </r>
  <r>
    <x v="381"/>
    <x v="2"/>
    <x v="2"/>
    <x v="4"/>
    <x v="0"/>
    <s v="20250831T042453462"/>
    <n v="0"/>
    <s v="decomposedNeighborhoodSearch"/>
    <n v="63.492378102066596"/>
    <s v="20250831 04:24:53"/>
    <n v="0"/>
    <n v="9.5620044166382758"/>
    <n v="3600.0540000000001"/>
    <n v="53.930373685428322"/>
  </r>
  <r>
    <x v="382"/>
    <x v="3"/>
    <x v="3"/>
    <x v="0"/>
    <x v="0"/>
    <s v="20250831T042553587"/>
    <n v="0"/>
    <s v="decomposedNeighborhoodSearch"/>
    <n v="96.057852332269405"/>
    <s v="20250831 04:25:53"/>
    <n v="0"/>
    <n v="19.286725967848664"/>
    <n v="3600.7579999999998"/>
    <n v="76.771126364420738"/>
  </r>
  <r>
    <x v="383"/>
    <x v="2"/>
    <x v="2"/>
    <x v="3"/>
    <x v="2"/>
    <s v="20250831T043823881"/>
    <n v="0"/>
    <s v="decomposedRandom"/>
    <n v="82.049848009066338"/>
    <s v="20250831 04:38:23"/>
    <n v="0"/>
    <n v="38.990911538378555"/>
    <n v="3600.509"/>
    <n v="43.058936470687783"/>
  </r>
  <r>
    <x v="384"/>
    <x v="3"/>
    <x v="3"/>
    <x v="1"/>
    <x v="0"/>
    <s v="20250831T044133059"/>
    <n v="0"/>
    <s v="decomposedNeighborhoodSearch"/>
    <n v="103.75426744136814"/>
    <s v="20250831 04:41:33"/>
    <n v="0"/>
    <n v="24.938178981884768"/>
    <n v="3601.009"/>
    <n v="78.816088459483382"/>
  </r>
  <r>
    <x v="385"/>
    <x v="2"/>
    <x v="2"/>
    <x v="4"/>
    <x v="2"/>
    <s v="20250831T044555225"/>
    <n v="0"/>
    <s v="decomposedRandom"/>
    <n v="74.560326357414041"/>
    <s v="20250831 04:45:55"/>
    <n v="0"/>
    <n v="20.266150722555693"/>
    <n v="3600.181"/>
    <n v="54.294175634858348"/>
  </r>
  <r>
    <x v="386"/>
    <x v="3"/>
    <x v="3"/>
    <x v="0"/>
    <x v="2"/>
    <s v="20250831T045448407"/>
    <n v="0"/>
    <s v="decomposedRandom"/>
    <n v="95.2872019031946"/>
    <s v="20250831 04:54:48"/>
    <n v="0"/>
    <n v="19.286725967848664"/>
    <n v="3600.232"/>
    <n v="76.000475935345932"/>
  </r>
  <r>
    <x v="387"/>
    <x v="2"/>
    <x v="2"/>
    <x v="2"/>
    <x v="3"/>
    <s v="20250831T051208764"/>
    <n v="0"/>
    <s v="localRefinement"/>
    <n v="77.832460178144686"/>
    <s v="20250831 05:12:08"/>
    <n v="0"/>
    <n v="23.432433617645557"/>
    <n v="3600.3420000000001"/>
    <n v="54.400026560499136"/>
  </r>
  <r>
    <x v="388"/>
    <x v="2"/>
    <x v="2"/>
    <x v="3"/>
    <x v="3"/>
    <s v="20250831T051208908"/>
    <n v="0"/>
    <s v="localRefinement"/>
    <n v="93.533479098729757"/>
    <s v="20250831 05:12:08"/>
    <n v="0"/>
    <n v="44.40114583427215"/>
    <n v="3600.326"/>
    <n v="49.132333264457607"/>
  </r>
  <r>
    <x v="389"/>
    <x v="2"/>
    <x v="2"/>
    <x v="4"/>
    <x v="3"/>
    <s v="20250831T051209024"/>
    <n v="0"/>
    <s v="localRefinement"/>
    <n v="62.711819470032211"/>
    <s v="20250831 05:12:09"/>
    <n v="0"/>
    <n v="9.5620044166382758"/>
    <n v="3600.248"/>
    <n v="53.149815053393937"/>
  </r>
  <r>
    <x v="390"/>
    <x v="3"/>
    <x v="3"/>
    <x v="0"/>
    <x v="3"/>
    <s v="20250831T051209044"/>
    <n v="0"/>
    <s v="localRefinement"/>
    <n v="100.54706596360059"/>
    <s v="20250831 05:12:09"/>
    <n v="0"/>
    <n v="19.286725967848664"/>
    <n v="3600.402"/>
    <n v="81.26033999575192"/>
  </r>
  <r>
    <x v="391"/>
    <x v="3"/>
    <x v="3"/>
    <x v="1"/>
    <x v="2"/>
    <s v="20250831T051233951"/>
    <n v="0"/>
    <s v="decomposedRandom"/>
    <n v="107.79787016615427"/>
    <s v="20250831 05:12:33"/>
    <n v="0"/>
    <n v="29.373760590468656"/>
    <n v="3600.0680000000002"/>
    <n v="78.42410957568562"/>
  </r>
  <r>
    <x v="392"/>
    <x v="3"/>
    <x v="3"/>
    <x v="2"/>
    <x v="0"/>
    <s v="20250831T052419980"/>
    <n v="0"/>
    <s v="decomposedNeighborhoodSearch"/>
    <n v="96.89826578643283"/>
    <s v="20250831 05:24:19"/>
    <n v="0"/>
    <n v="23.33584345370835"/>
    <n v="3600.3589999999999"/>
    <n v="73.562422332724481"/>
  </r>
  <r>
    <x v="393"/>
    <x v="3"/>
    <x v="3"/>
    <x v="3"/>
    <x v="0"/>
    <s v="20250831T052453518"/>
    <n v="0"/>
    <s v="decomposedNeighborhoodSearch"/>
    <n v="99.010361511311643"/>
    <s v="20250831 05:24:53"/>
    <n v="0"/>
    <n v="19.200038895196247"/>
    <n v="3600.2260000000001"/>
    <n v="79.8103226161154"/>
  </r>
  <r>
    <x v="394"/>
    <x v="3"/>
    <x v="3"/>
    <x v="4"/>
    <x v="0"/>
    <s v="20250831T052554347"/>
    <n v="0"/>
    <s v="decomposedNeighborhoodSearch"/>
    <n v="107.9504301020327"/>
    <s v="20250831 05:25:54"/>
    <n v="0"/>
    <n v="26.420122332213175"/>
    <n v="3600.366"/>
    <n v="81.530307769819515"/>
  </r>
  <r>
    <x v="395"/>
    <x v="3"/>
    <x v="3"/>
    <x v="2"/>
    <x v="2"/>
    <s v="20250831T053824392"/>
    <n v="0"/>
    <s v="decomposedRandom"/>
    <n v="100.47303179399104"/>
    <s v="20250831 05:38:24"/>
    <n v="0"/>
    <n v="27.49581398387917"/>
    <n v="3600.8420000000001"/>
    <n v="72.977217810111867"/>
  </r>
  <r>
    <x v="396"/>
    <x v="4"/>
    <x v="4"/>
    <x v="0"/>
    <x v="0"/>
    <s v="20250831T054134071"/>
    <n v="0"/>
    <s v="decomposedNeighborhoodSearch"/>
    <n v="112.44468498811091"/>
    <s v="20250831 05:41:34"/>
    <n v="0"/>
    <n v="12.160176349158526"/>
    <n v="3600.922"/>
    <n v="100.28450863895239"/>
  </r>
  <r>
    <x v="397"/>
    <x v="3"/>
    <x v="3"/>
    <x v="3"/>
    <x v="2"/>
    <s v="20250831T054555409"/>
    <n v="0"/>
    <s v="decomposedRandom"/>
    <n v="108.49097012380952"/>
    <s v="20250831 05:45:55"/>
    <n v="0"/>
    <n v="29.982671472237932"/>
    <n v="3600.0680000000002"/>
    <n v="78.508298651571593"/>
  </r>
  <r>
    <x v="398"/>
    <x v="3"/>
    <x v="3"/>
    <x v="4"/>
    <x v="2"/>
    <s v="20250831T055448641"/>
    <n v="0"/>
    <s v="decomposedRandom"/>
    <n v="120.55877081221855"/>
    <s v="20250831 05:54:48"/>
    <n v="0"/>
    <n v="39.022460008692505"/>
    <n v="3600.0889999999999"/>
    <n v="81.53631080352605"/>
  </r>
  <r>
    <x v="399"/>
    <x v="3"/>
    <x v="3"/>
    <x v="1"/>
    <x v="3"/>
    <s v="20250831T061209107"/>
    <n v="0"/>
    <s v="localRefinement"/>
    <n v="101.1797793547014"/>
    <s v="20250831 06:12:09"/>
    <n v="0"/>
    <n v="24.938178981884768"/>
    <n v="3600.4389999999999"/>
    <n v="76.24160037281662"/>
  </r>
  <r>
    <x v="400"/>
    <x v="3"/>
    <x v="3"/>
    <x v="2"/>
    <x v="3"/>
    <s v="20250831T061209235"/>
    <n v="0"/>
    <s v="localRefinement"/>
    <n v="101.16534685731428"/>
    <s v="20250831 06:12:09"/>
    <n v="0"/>
    <n v="29.180688396868778"/>
    <n v="3600.3780000000002"/>
    <n v="71.984658460445502"/>
  </r>
  <r>
    <x v="401"/>
    <x v="3"/>
    <x v="3"/>
    <x v="3"/>
    <x v="3"/>
    <s v="20250831T061209274"/>
    <n v="0"/>
    <s v="localRefinement"/>
    <n v="101.81491162752467"/>
    <s v="20250831 06:12:09"/>
    <n v="0"/>
    <n v="24.236889193623242"/>
    <n v="3600.4380000000001"/>
    <n v="77.578022433901424"/>
  </r>
  <r>
    <x v="402"/>
    <x v="3"/>
    <x v="3"/>
    <x v="4"/>
    <x v="3"/>
    <s v="20250831T061209448"/>
    <n v="0"/>
    <s v="localRefinement"/>
    <n v="106.84900127274494"/>
    <s v="20250831 06:12:09"/>
    <n v="0"/>
    <n v="26.420122332213175"/>
    <n v="3600.4839999999999"/>
    <n v="80.42887894053176"/>
  </r>
  <r>
    <x v="403"/>
    <x v="4"/>
    <x v="4"/>
    <x v="0"/>
    <x v="2"/>
    <s v="20250831T061234021"/>
    <n v="0"/>
    <s v="decomposedRandom"/>
    <n v="115.84930425941576"/>
    <s v="20250831 06:12:34"/>
    <n v="0"/>
    <n v="15.636186582708813"/>
    <n v="3600.2060000000001"/>
    <n v="100.21311767670694"/>
  </r>
  <r>
    <x v="404"/>
    <x v="4"/>
    <x v="4"/>
    <x v="1"/>
    <x v="0"/>
    <s v="20250831T062420341"/>
    <n v="0"/>
    <s v="decomposedNeighborhoodSearch"/>
    <n v="136.135364351471"/>
    <s v="20250831 06:24:20"/>
    <n v="0"/>
    <n v="34.243090666664436"/>
    <n v="3600.1"/>
    <n v="101.89227368480655"/>
  </r>
  <r>
    <x v="405"/>
    <x v="4"/>
    <x v="4"/>
    <x v="2"/>
    <x v="0"/>
    <s v="20250831T062453746"/>
    <n v="0"/>
    <s v="decomposedNeighborhoodSearch"/>
    <n v="112.49228066462901"/>
    <s v="20250831 06:24:53"/>
    <n v="0"/>
    <n v="10.482065555535547"/>
    <n v="3600.2069999999999"/>
    <n v="102.01021510909347"/>
  </r>
  <r>
    <x v="406"/>
    <x v="4"/>
    <x v="4"/>
    <x v="3"/>
    <x v="0"/>
    <s v="20250831T062554716"/>
    <n v="0"/>
    <s v="decomposedNeighborhoodSearch"/>
    <n v="128.2387680792381"/>
    <s v="20250831 06:25:54"/>
    <n v="0"/>
    <n v="29.785719956418404"/>
    <n v="3600.8919999999998"/>
    <n v="98.453048122819695"/>
  </r>
  <r>
    <x v="407"/>
    <x v="4"/>
    <x v="4"/>
    <x v="1"/>
    <x v="2"/>
    <s v="20250831T063825236"/>
    <n v="0"/>
    <s v="decomposedRandom"/>
    <n v="140.0327761318037"/>
    <s v="20250831 06:38:25"/>
    <n v="0"/>
    <n v="37.753167252478619"/>
    <n v="3600.1030000000001"/>
    <n v="102.2796088793251"/>
  </r>
  <r>
    <x v="408"/>
    <x v="4"/>
    <x v="4"/>
    <x v="4"/>
    <x v="0"/>
    <s v="20250831T064134996"/>
    <n v="0"/>
    <s v="decomposedNeighborhoodSearch"/>
    <n v="164.89065281409654"/>
    <s v="20250831 06:41:34"/>
    <n v="0"/>
    <n v="45.146485720061563"/>
    <n v="3600.3919999999998"/>
    <n v="119.74416709403499"/>
  </r>
  <r>
    <x v="409"/>
    <x v="4"/>
    <x v="4"/>
    <x v="2"/>
    <x v="2"/>
    <s v="20250831T064555481"/>
    <n v="0"/>
    <s v="decomposedRandom"/>
    <n v="116.44529368534347"/>
    <s v="20250831 06:45:55"/>
    <n v="0"/>
    <n v="15.32970189223624"/>
    <n v="3600.4319999999998"/>
    <n v="101.11559179310723"/>
  </r>
  <r>
    <x v="410"/>
    <x v="4"/>
    <x v="4"/>
    <x v="3"/>
    <x v="2"/>
    <s v="20250831T065448732"/>
    <n v="0"/>
    <s v="decomposedRandom"/>
    <n v="133.51281268459496"/>
    <s v="20250831 06:54:48"/>
    <n v="0"/>
    <n v="35.150007574652143"/>
    <n v="3600.61"/>
    <n v="98.362805109942812"/>
  </r>
  <r>
    <x v="411"/>
    <x v="4"/>
    <x v="4"/>
    <x v="0"/>
    <x v="3"/>
    <s v="20250831T071209549"/>
    <n v="0"/>
    <s v="localRefinement"/>
    <n v="117.34141983938255"/>
    <s v="20250831 07:12:09"/>
    <n v="0"/>
    <n v="12.160176349158526"/>
    <n v="3600.7849999999999"/>
    <n v="105.18124349022402"/>
  </r>
  <r>
    <x v="412"/>
    <x v="4"/>
    <x v="4"/>
    <x v="1"/>
    <x v="3"/>
    <s v="20250831T071209615"/>
    <n v="0"/>
    <s v="localRefinement"/>
    <n v="156.16359581380024"/>
    <s v="20250831 07:12:09"/>
    <n v="0"/>
    <n v="42.146551991174015"/>
    <n v="3600.748"/>
    <n v="114.01704382262622"/>
  </r>
  <r>
    <x v="413"/>
    <x v="4"/>
    <x v="4"/>
    <x v="2"/>
    <x v="3"/>
    <s v="20250831T071209713"/>
    <n v="0"/>
    <s v="localRefinement"/>
    <n v="119.12276765283654"/>
    <s v="20250831 07:12:09"/>
    <n v="0"/>
    <n v="19.109784661951874"/>
    <n v="3600.741"/>
    <n v="100.01298299088467"/>
  </r>
  <r>
    <x v="414"/>
    <x v="4"/>
    <x v="4"/>
    <x v="3"/>
    <x v="3"/>
    <s v="20250831T071209933"/>
    <n v="0"/>
    <s v="localRefinement"/>
    <n v="143.25457731680058"/>
    <s v="20250831 07:12:09"/>
    <n v="0"/>
    <n v="46.844800890362805"/>
    <n v="3600.6689999999999"/>
    <n v="96.409776426437773"/>
  </r>
  <r>
    <x v="415"/>
    <x v="4"/>
    <x v="4"/>
    <x v="4"/>
    <x v="2"/>
    <s v="20250831T071234229"/>
    <n v="0"/>
    <s v="decomposedRandom"/>
    <n v="163.40759993350167"/>
    <s v="20250831 07:12:34"/>
    <n v="0"/>
    <n v="44.592973325206202"/>
    <n v="3600.672"/>
    <n v="118.81462660829548"/>
  </r>
  <r>
    <x v="416"/>
    <x v="5"/>
    <x v="1"/>
    <x v="0"/>
    <x v="0"/>
    <s v="20250831T072420444"/>
    <n v="0"/>
    <s v="decomposedNeighborhoodSearch"/>
    <n v="225.10988662137976"/>
    <s v="20250831 07:24:20"/>
    <n v="0"/>
    <n v="93.738686718265569"/>
    <n v="3602.3449999999998"/>
    <n v="131.37119990311419"/>
  </r>
  <r>
    <x v="417"/>
    <x v="5"/>
    <x v="1"/>
    <x v="1"/>
    <x v="0"/>
    <s v="20250831T072453956"/>
    <n v="0"/>
    <s v="decomposedNeighborhoodSearch"/>
    <n v="238.98936419206723"/>
    <s v="20250831 07:24:53"/>
    <n v="0"/>
    <n v="88.621475447711688"/>
    <n v="3601.4760000000001"/>
    <n v="150.36788874435553"/>
  </r>
  <r>
    <x v="418"/>
    <x v="5"/>
    <x v="1"/>
    <x v="2"/>
    <x v="0"/>
    <s v="20250831T072555610"/>
    <n v="0"/>
    <s v="decomposedNeighborhoodSearch"/>
    <n v="123.24506749593867"/>
    <s v="20250831 07:25:55"/>
    <n v="0"/>
    <n v="17.673693864406445"/>
    <n v="3600.4070000000002"/>
    <n v="105.57137363153223"/>
  </r>
  <r>
    <x v="419"/>
    <x v="5"/>
    <x v="1"/>
    <x v="0"/>
    <x v="2"/>
    <s v="20250831T073825342"/>
    <n v="0"/>
    <s v="decomposedRandom"/>
    <n v="236.92127413431751"/>
    <s v="20250831 07:38:25"/>
    <n v="0"/>
    <n v="105.41080321669176"/>
    <n v="3601.8090000000002"/>
    <n v="131.51047091762575"/>
  </r>
  <r>
    <x v="420"/>
    <x v="5"/>
    <x v="1"/>
    <x v="3"/>
    <x v="0"/>
    <s v="20250831T074135390"/>
    <n v="0"/>
    <s v="decomposedNeighborhoodSearch"/>
    <n v="127.98914761587699"/>
    <s v="20250831 07:41:35"/>
    <n v="0"/>
    <n v="20.820988994154483"/>
    <n v="3600.2559999999999"/>
    <n v="107.16815862172251"/>
  </r>
  <r>
    <x v="421"/>
    <x v="5"/>
    <x v="1"/>
    <x v="1"/>
    <x v="2"/>
    <s v="20250831T074555915"/>
    <n v="0"/>
    <s v="decomposedRandom"/>
    <n v="241.10929739884776"/>
    <s v="20250831 07:45:55"/>
    <n v="0"/>
    <n v="91.116372326059548"/>
    <n v="3600.9349999999999"/>
    <n v="149.99292507278821"/>
  </r>
  <r>
    <x v="422"/>
    <x v="5"/>
    <x v="1"/>
    <x v="2"/>
    <x v="2"/>
    <s v="20250831T075449344"/>
    <n v="0"/>
    <s v="decomposedRandom"/>
    <n v="123.11756293151566"/>
    <s v="20250831 07:54:49"/>
    <n v="0"/>
    <n v="18.178957802442522"/>
    <n v="3600.68"/>
    <n v="104.93860512907314"/>
  </r>
  <r>
    <x v="423"/>
    <x v="4"/>
    <x v="4"/>
    <x v="4"/>
    <x v="3"/>
    <s v="20250831T081210337"/>
    <n v="0"/>
    <s v="localRefinement"/>
    <n v="166.16278346969997"/>
    <s v="20250831 08:12:10"/>
    <n v="0"/>
    <n v="48.508832827236141"/>
    <n v="3600.7440000000001"/>
    <n v="117.65395064246383"/>
  </r>
  <r>
    <x v="424"/>
    <x v="5"/>
    <x v="1"/>
    <x v="0"/>
    <x v="3"/>
    <s v="20250831T081210364"/>
    <n v="0"/>
    <s v="localRefinement"/>
    <n v="239.70197628496243"/>
    <s v="20250831 08:12:10"/>
    <n v="0"/>
    <n v="111.44299661635517"/>
    <n v="3600.7280000000001"/>
    <n v="128.25897966860725"/>
  </r>
  <r>
    <x v="425"/>
    <x v="5"/>
    <x v="1"/>
    <x v="1"/>
    <x v="3"/>
    <s v="20250831T081210456"/>
    <n v="0"/>
    <s v="localRefinement"/>
    <n v="244.95033452483023"/>
    <s v="20250831 08:12:10"/>
    <n v="0"/>
    <n v="99.700373994508894"/>
    <n v="3600.8"/>
    <n v="145.24996053032132"/>
  </r>
  <r>
    <x v="426"/>
    <x v="5"/>
    <x v="1"/>
    <x v="2"/>
    <x v="3"/>
    <s v="20250831T081210604"/>
    <n v="0"/>
    <s v="localRefinement"/>
    <n v="134.10764591101454"/>
    <s v="20250831 08:12:10"/>
    <n v="0"/>
    <n v="23.405652032670794"/>
    <n v="3600.7280000000001"/>
    <n v="110.70199387834376"/>
  </r>
  <r>
    <x v="427"/>
    <x v="5"/>
    <x v="1"/>
    <x v="3"/>
    <x v="2"/>
    <s v="20250831T081234904"/>
    <n v="0"/>
    <s v="decomposedRandom"/>
    <n v="128.742257434697"/>
    <s v="20250831 08:12:34"/>
    <n v="0"/>
    <n v="20.820988994154483"/>
    <n v="3600.1419999999998"/>
    <n v="107.92126844054252"/>
  </r>
  <r>
    <x v="428"/>
    <x v="5"/>
    <x v="1"/>
    <x v="4"/>
    <x v="0"/>
    <s v="20250831T082422791"/>
    <n v="0"/>
    <s v="decomposedNeighborhoodSearch"/>
    <n v="216.13564150369564"/>
    <s v="20250831 08:24:22"/>
    <n v="0"/>
    <n v="64.148326247321961"/>
    <n v="3600.8249999999998"/>
    <n v="151.98731525637368"/>
  </r>
  <r>
    <x v="429"/>
    <x v="8"/>
    <x v="3"/>
    <x v="0"/>
    <x v="0"/>
    <s v="20250831T082455433"/>
    <n v="0"/>
    <s v="decomposedNeighborhoodSearch"/>
    <n v="525.2524278292135"/>
    <s v="20250831 08:24:55"/>
    <n v="0"/>
    <n v="110.61032531565033"/>
    <n v="3600.2510000000002"/>
    <n v="414.6421025135632"/>
  </r>
  <r>
    <x v="430"/>
    <x v="8"/>
    <x v="3"/>
    <x v="1"/>
    <x v="0"/>
    <s v="20250831T082556019"/>
    <n v="0"/>
    <s v="decomposedNeighborhoodSearch"/>
    <n v="630.57472931700363"/>
    <s v="20250831 08:25:56"/>
    <n v="0"/>
    <n v="214.74449405399639"/>
    <n v="3600.527"/>
    <n v="415.83023526300724"/>
  </r>
  <r>
    <x v="431"/>
    <x v="5"/>
    <x v="1"/>
    <x v="4"/>
    <x v="2"/>
    <s v="20250831T083827152"/>
    <n v="0"/>
    <s v="decomposedRandom"/>
    <n v="216.38221847062465"/>
    <s v="20250831 08:38:27"/>
    <n v="0"/>
    <n v="64.148326247321961"/>
    <n v="3602.123"/>
    <n v="152.23389222330269"/>
  </r>
  <r>
    <x v="432"/>
    <x v="8"/>
    <x v="3"/>
    <x v="2"/>
    <x v="0"/>
    <s v="20250831T084135648"/>
    <n v="0"/>
    <s v="decomposedNeighborhoodSearch"/>
    <n v="469.27501128934068"/>
    <s v="20250831 08:41:35"/>
    <n v="0"/>
    <n v="68.779632199832463"/>
    <n v="3601.2370000000001"/>
    <n v="400.49537908950822"/>
  </r>
  <r>
    <x v="433"/>
    <x v="8"/>
    <x v="3"/>
    <x v="0"/>
    <x v="2"/>
    <s v="20250831T084556852"/>
    <n v="0"/>
    <s v="decomposedRandom"/>
    <n v="617.15626248967908"/>
    <s v="20250831 08:45:56"/>
    <n v="0"/>
    <n v="200.9133205336569"/>
    <n v="3600.951"/>
    <n v="416.24294195602221"/>
  </r>
  <r>
    <x v="434"/>
    <x v="8"/>
    <x v="3"/>
    <x v="1"/>
    <x v="2"/>
    <s v="20250831T085450027"/>
    <n v="0"/>
    <s v="decomposedRandom"/>
    <n v="714.88367914656374"/>
    <s v="20250831 08:54:50"/>
    <n v="0"/>
    <n v="287.44798943153717"/>
    <n v="3607.0819999999999"/>
    <n v="427.43568971502657"/>
  </r>
  <r>
    <x v="435"/>
    <x v="5"/>
    <x v="1"/>
    <x v="3"/>
    <x v="3"/>
    <s v="20250831T091211083"/>
    <n v="0"/>
    <s v="localRefinement"/>
    <n v="124.23205084780477"/>
    <s v="20250831 09:12:11"/>
    <n v="0"/>
    <n v="18.216060585617786"/>
    <n v="3600.8969999999999"/>
    <n v="106.01599026218699"/>
  </r>
  <r>
    <x v="436"/>
    <x v="5"/>
    <x v="1"/>
    <x v="4"/>
    <x v="3"/>
    <s v="20250831T091211093"/>
    <n v="0"/>
    <s v="localRefinement"/>
    <n v="225.3326016508812"/>
    <s v="20250831 09:12:11"/>
    <n v="0"/>
    <n v="67.025304255021524"/>
    <n v="3601.203"/>
    <n v="158.30729739585968"/>
  </r>
  <r>
    <x v="437"/>
    <x v="8"/>
    <x v="3"/>
    <x v="0"/>
    <x v="3"/>
    <s v="20250831T091211257"/>
    <n v="0"/>
    <s v="localRefinement"/>
    <n v="621.70100358240938"/>
    <s v="20250831 09:12:11"/>
    <n v="0"/>
    <n v="185.11379697724766"/>
    <n v="3603.5039999999999"/>
    <n v="436.58720660516178"/>
  </r>
  <r>
    <x v="438"/>
    <x v="8"/>
    <x v="3"/>
    <x v="1"/>
    <x v="3"/>
    <s v="20250831T091211334"/>
    <n v="0"/>
    <s v="localRefinement"/>
    <n v="804.03558249787784"/>
    <s v="20250831 09:12:11"/>
    <n v="0"/>
    <n v="366.28982496209443"/>
    <n v="3603.86"/>
    <n v="437.74575753578341"/>
  </r>
  <r>
    <x v="439"/>
    <x v="8"/>
    <x v="3"/>
    <x v="2"/>
    <x v="2"/>
    <s v="20250831T091235049"/>
    <n v="0"/>
    <s v="decomposedRandom"/>
    <n v="528.17197590094327"/>
    <s v="20250831 09:12:35"/>
    <n v="0"/>
    <n v="125.65420143993923"/>
    <n v="3601.277"/>
    <n v="402.51777446100402"/>
  </r>
  <r>
    <x v="440"/>
    <x v="8"/>
    <x v="3"/>
    <x v="3"/>
    <x v="0"/>
    <s v="20250831T092423618"/>
    <n v="0"/>
    <s v="decomposedNeighborhoodSearch"/>
    <n v="677.61251058916673"/>
    <s v="20250831 09:24:23"/>
    <n v="0"/>
    <n v="247.61133148470131"/>
    <n v="3600.9369999999999"/>
    <n v="430.00117910446539"/>
  </r>
  <r>
    <x v="441"/>
    <x v="8"/>
    <x v="3"/>
    <x v="4"/>
    <x v="0"/>
    <s v="20250831T092455689"/>
    <n v="0"/>
    <s v="decomposedNeighborhoodSearch"/>
    <n v="533.85078008975802"/>
    <s v="20250831 09:24:55"/>
    <n v="0"/>
    <n v="130.64889920346448"/>
    <n v="3606.3710000000001"/>
    <n v="403.20188088629351"/>
  </r>
  <r>
    <x v="442"/>
    <x v="6"/>
    <x v="5"/>
    <x v="0"/>
    <x v="0"/>
    <s v="20250831T092556550"/>
    <n v="0"/>
    <s v="decomposedNeighborhoodSearch"/>
    <n v="1208.5581307509215"/>
    <s v="20250831 09:25:56"/>
    <n v="0"/>
    <n v="451.7093195875085"/>
    <n v="3602.0920000000001"/>
    <n v="756.84881116341307"/>
  </r>
  <r>
    <x v="443"/>
    <x v="8"/>
    <x v="3"/>
    <x v="3"/>
    <x v="2"/>
    <s v="20250831T093829279"/>
    <n v="0"/>
    <s v="decomposedRandom"/>
    <n v="751.40585432762532"/>
    <s v="20250831 09:38:29"/>
    <n v="0"/>
    <n v="315.16127773084105"/>
    <n v="3612.9830000000002"/>
    <n v="436.24457659678427"/>
  </r>
  <r>
    <x v="444"/>
    <x v="6"/>
    <x v="5"/>
    <x v="1"/>
    <x v="0"/>
    <s v="20250831T094136899"/>
    <n v="0"/>
    <s v="decomposedNeighborhoodSearch"/>
    <n v="1186.7271707572488"/>
    <s v="20250831 09:41:36"/>
    <n v="0"/>
    <n v="422.09401156014553"/>
    <n v="3601.462"/>
    <n v="764.63315919710328"/>
  </r>
  <r>
    <x v="445"/>
    <x v="8"/>
    <x v="3"/>
    <x v="4"/>
    <x v="2"/>
    <s v="20250831T094557808"/>
    <n v="0"/>
    <s v="decomposedRandom"/>
    <n v="601.77079650144526"/>
    <s v="20250831 09:45:57"/>
    <n v="0"/>
    <n v="198.69954684123769"/>
    <n v="3601.739"/>
    <n v="403.07124966020757"/>
  </r>
  <r>
    <x v="446"/>
    <x v="6"/>
    <x v="5"/>
    <x v="0"/>
    <x v="2"/>
    <s v="20250831T095457113"/>
    <n v="0"/>
    <s v="decomposedRandom"/>
    <n v="1208.5581307509215"/>
    <s v="20250831 09:54:57"/>
    <n v="0"/>
    <n v="451.7093195875085"/>
    <n v="3601.0349999999999"/>
    <n v="756.84881116341307"/>
  </r>
  <r>
    <x v="447"/>
    <x v="8"/>
    <x v="3"/>
    <x v="2"/>
    <x v="3"/>
    <s v="20250831T101211984"/>
    <n v="0"/>
    <s v="localRefinement"/>
    <n v="520.91381225158966"/>
    <s v="20250831 10:12:11"/>
    <n v="0"/>
    <n v="112.84505977424973"/>
    <n v="3601.97"/>
    <n v="408.0687524773399"/>
  </r>
  <r>
    <x v="448"/>
    <x v="8"/>
    <x v="3"/>
    <x v="3"/>
    <x v="3"/>
    <s v="20250831T101212298"/>
    <n v="0"/>
    <s v="localRefinement"/>
    <n v="782.61628815118343"/>
    <s v="20250831 10:12:12"/>
    <n v="0"/>
    <n v="347.45971321340971"/>
    <n v="3604.942"/>
    <n v="435.15657493777366"/>
  </r>
  <r>
    <x v="449"/>
    <x v="8"/>
    <x v="3"/>
    <x v="4"/>
    <x v="3"/>
    <s v="20250831T101214766"/>
    <n v="0"/>
    <s v="localRefinement"/>
    <n v="630.54038564880807"/>
    <s v="20250831 10:12:14"/>
    <n v="0"/>
    <n v="225.88327832127726"/>
    <n v="3604.0360000000001"/>
    <n v="404.65710732753081"/>
  </r>
  <r>
    <x v="450"/>
    <x v="6"/>
    <x v="5"/>
    <x v="0"/>
    <x v="3"/>
    <s v="20250831T101215198"/>
    <n v="0"/>
    <s v="localRefinement"/>
    <n v="1208.5581307509215"/>
    <s v="20250831 10:12:15"/>
    <n v="0"/>
    <n v="451.7093195875085"/>
    <n v="3600.8380000000002"/>
    <n v="756.84881116341307"/>
  </r>
  <r>
    <x v="451"/>
    <x v="6"/>
    <x v="5"/>
    <x v="1"/>
    <x v="2"/>
    <s v="20250831T101236330"/>
    <n v="0"/>
    <s v="decomposedRandom"/>
    <n v="1343.8725247922441"/>
    <s v="20250831 10:12:36"/>
    <n v="0"/>
    <n v="573.13023212057806"/>
    <n v="3660.9349999999999"/>
    <n v="770.74229267166606"/>
  </r>
  <r>
    <x v="452"/>
    <x v="6"/>
    <x v="5"/>
    <x v="2"/>
    <x v="0"/>
    <s v="20250831T102424559"/>
    <n v="0"/>
    <s v="decomposedNeighborhoodSearch"/>
    <n v="1031.6821416486048"/>
    <s v="20250831 10:24:24"/>
    <n v="0"/>
    <n v="294.90572944534955"/>
    <n v="3601.6889999999999"/>
    <n v="736.77641220325529"/>
  </r>
  <r>
    <x v="453"/>
    <x v="6"/>
    <x v="5"/>
    <x v="3"/>
    <x v="0"/>
    <s v="20250831T102502073"/>
    <n v="0"/>
    <s v="decomposedNeighborhoodSearch"/>
    <n v="1103.9327734666153"/>
    <s v="20250831 10:25:02"/>
    <n v="0"/>
    <n v="332.9269320337151"/>
    <n v="3600.875"/>
    <n v="771.0058414329003"/>
  </r>
  <r>
    <x v="454"/>
    <x v="6"/>
    <x v="5"/>
    <x v="4"/>
    <x v="0"/>
    <s v="20250831T102558647"/>
    <n v="0"/>
    <s v="decomposedNeighborhoodSearch"/>
    <n v="1192.9265569658357"/>
    <s v="20250831 10:25:58"/>
    <n v="0"/>
    <n v="416.4407152299986"/>
    <n v="3602.0509999999999"/>
    <n v="776.4858417358372"/>
  </r>
  <r>
    <x v="455"/>
    <x v="6"/>
    <x v="5"/>
    <x v="2"/>
    <x v="2"/>
    <s v="20250831T103842266"/>
    <n v="0"/>
    <s v="decomposedRandom"/>
    <n v="1179.3138144186501"/>
    <s v="20250831 10:38:42"/>
    <n v="0"/>
    <n v="444.05117073693992"/>
    <n v="3600.8209999999999"/>
    <n v="735.26264368171007"/>
  </r>
  <r>
    <x v="456"/>
    <x v="7"/>
    <x v="6"/>
    <x v="0"/>
    <x v="0"/>
    <s v="20250831T104138371"/>
    <n v="0"/>
    <s v="decomposedNeighborhoodSearch"/>
    <n v="1811.8662396472282"/>
    <s v="20250831 10:41:38"/>
    <n v="0"/>
    <n v="585.32380678855941"/>
    <n v="3602.6869999999999"/>
    <n v="1226.5424328586689"/>
  </r>
  <r>
    <x v="457"/>
    <x v="6"/>
    <x v="5"/>
    <x v="3"/>
    <x v="2"/>
    <s v="20250831T104559552"/>
    <n v="0"/>
    <s v="decomposedRandom"/>
    <n v="1204.6246490867941"/>
    <s v="20250831 10:45:59"/>
    <n v="0"/>
    <n v="429.90740617538938"/>
    <n v="3603.5540000000001"/>
    <n v="774.7172429114047"/>
  </r>
  <r>
    <x v="458"/>
    <x v="6"/>
    <x v="5"/>
    <x v="4"/>
    <x v="2"/>
    <s v="20250831T105458159"/>
    <n v="0"/>
    <s v="decomposedRandom"/>
    <n v="1279.1086280841514"/>
    <s v="20250831 10:54:58"/>
    <n v="0"/>
    <n v="499.18584771175557"/>
    <n v="3608.819"/>
    <n v="779.92278037239578"/>
  </r>
  <r>
    <x v="459"/>
    <x v="7"/>
    <x v="6"/>
    <x v="0"/>
    <x v="2"/>
    <s v="20250831T111337274"/>
    <n v="0"/>
    <s v="decomposedRandom"/>
    <n v="1876.6927050365066"/>
    <s v="20250831 11:13:37"/>
    <n v="0"/>
    <n v="650.5432159590074"/>
    <n v="3602.0929999999998"/>
    <n v="1226.1494890774993"/>
  </r>
  <r>
    <x v="460"/>
    <x v="7"/>
    <x v="6"/>
    <x v="1"/>
    <x v="0"/>
    <s v="20250831T112426255"/>
    <n v="0"/>
    <s v="decomposedNeighborhoodSearch"/>
    <n v="1699.0113713965643"/>
    <s v="20250831 11:24:26"/>
    <n v="0"/>
    <n v="525.57622696197666"/>
    <n v="3601.9459999999999"/>
    <n v="1173.4351444345878"/>
  </r>
  <r>
    <x v="461"/>
    <x v="7"/>
    <x v="6"/>
    <x v="2"/>
    <x v="0"/>
    <s v="20250831T112502952"/>
    <n v="0"/>
    <s v="decomposedNeighborhoodSearch"/>
    <n v="1697.601469307665"/>
    <s v="20250831 11:25:02"/>
    <n v="0"/>
    <n v="481.8618854428737"/>
    <n v="3602.098"/>
    <n v="1215.7395838647913"/>
  </r>
  <r>
    <x v="462"/>
    <x v="7"/>
    <x v="6"/>
    <x v="3"/>
    <x v="0"/>
    <s v="20250831T112600708"/>
    <n v="0"/>
    <s v="decomposedNeighborhoodSearch"/>
    <n v="1617.1771751392848"/>
    <s v="20250831 11:26:00"/>
    <n v="0"/>
    <n v="486.42430964443713"/>
    <n v="3602.1840000000002"/>
    <n v="1130.7528654948476"/>
  </r>
  <r>
    <x v="463"/>
    <x v="7"/>
    <x v="6"/>
    <x v="1"/>
    <x v="2"/>
    <s v="20250831T113843094"/>
    <n v="0"/>
    <s v="decomposedRandom"/>
    <n v="1758.836151631021"/>
    <s v="20250831 11:38:43"/>
    <n v="0"/>
    <n v="582.96978584227588"/>
    <n v="3600.7829999999999"/>
    <n v="1175.866365788745"/>
  </r>
  <r>
    <x v="464"/>
    <x v="7"/>
    <x v="6"/>
    <x v="4"/>
    <x v="0"/>
    <s v="20250831T114141066"/>
    <n v="0"/>
    <s v="decomposedNeighborhoodSearch"/>
    <n v="1837.4136781124437"/>
    <s v="20250831 11:41:41"/>
    <n v="0"/>
    <n v="640.76085550022003"/>
    <n v="3602.0349999999999"/>
    <n v="1196.6528226122236"/>
  </r>
  <r>
    <x v="465"/>
    <x v="7"/>
    <x v="6"/>
    <x v="2"/>
    <x v="2"/>
    <s v="20250831T114603113"/>
    <n v="0"/>
    <s v="decomposedRandom"/>
    <n v="1760.3597205377405"/>
    <s v="20250831 11:46:03"/>
    <n v="0"/>
    <n v="543.13407963527402"/>
    <n v="3601.886"/>
    <n v="1217.2256409024665"/>
  </r>
  <r>
    <x v="466"/>
    <x v="7"/>
    <x v="6"/>
    <x v="3"/>
    <x v="2"/>
    <s v="20250831T115506982"/>
    <n v="0"/>
    <s v="decomposedRandom"/>
    <n v="1784.420821272503"/>
    <s v="20250831 11:55:06"/>
    <n v="0"/>
    <n v="647.50574552491639"/>
    <n v="3601.0909999999999"/>
    <n v="1136.9150757475866"/>
  </r>
  <r>
    <x v="467"/>
    <x v="7"/>
    <x v="6"/>
    <x v="4"/>
    <x v="2"/>
    <s v="20250831T121339371"/>
    <n v="0"/>
    <s v="decomposedRandom"/>
    <n v="1910.9345525690005"/>
    <s v="20250831 12:13:39"/>
    <n v="0"/>
    <n v="712.65109645537325"/>
    <n v="3601.6149999999998"/>
    <n v="1198.2834561136274"/>
  </r>
  <r>
    <x v="468"/>
    <x v="9"/>
    <x v="7"/>
    <x v="0"/>
    <x v="0"/>
    <s v="20250831T122428205"/>
    <n v="0"/>
    <s v="decomposedNeighborhoodSearch"/>
    <n v="2530.4166491521605"/>
    <s v="20250831 12:24:28"/>
    <n v="0"/>
    <n v="776.93505478320844"/>
    <n v="3601.7660000000001"/>
    <n v="1753.4815943689521"/>
  </r>
  <r>
    <x v="469"/>
    <x v="9"/>
    <x v="7"/>
    <x v="1"/>
    <x v="0"/>
    <s v="20250831T122505054"/>
    <n v="0"/>
    <s v="decomposedNeighborhoodSearch"/>
    <n v="2444.015455984334"/>
    <s v="20250831 12:25:05"/>
    <n v="0"/>
    <n v="783.67724228407519"/>
    <n v="3602.328"/>
    <n v="1660.3382137002591"/>
  </r>
  <r>
    <x v="470"/>
    <x v="9"/>
    <x v="7"/>
    <x v="2"/>
    <x v="0"/>
    <s v="20250831T122602896"/>
    <n v="0"/>
    <s v="decomposedNeighborhoodSearch"/>
    <n v="2322.5820588080342"/>
    <s v="20250831 12:26:02"/>
    <n v="0"/>
    <n v="563.89099362273907"/>
    <n v="3669.4569999999999"/>
    <n v="1758.6910651852952"/>
  </r>
  <r>
    <x v="471"/>
    <x v="9"/>
    <x v="7"/>
    <x v="0"/>
    <x v="2"/>
    <s v="20250831T123843885"/>
    <n v="0"/>
    <s v="decomposedRandom"/>
    <n v="2624.2877471526199"/>
    <s v="20250831 12:38:43"/>
    <n v="0"/>
    <n v="870.83199884252815"/>
    <n v="3601.87"/>
    <n v="1753.4557483100916"/>
  </r>
  <r>
    <x v="472"/>
    <x v="9"/>
    <x v="7"/>
    <x v="3"/>
    <x v="0"/>
    <s v="20250831T124143110"/>
    <n v="0"/>
    <s v="decomposedNeighborhoodSearch"/>
    <n v="2497.0165783656589"/>
    <s v="20250831 12:41:43"/>
    <n v="0"/>
    <n v="803.81401835587087"/>
    <n v="3602.1419999999998"/>
    <n v="1693.2025600097879"/>
  </r>
  <r>
    <x v="473"/>
    <x v="9"/>
    <x v="7"/>
    <x v="1"/>
    <x v="2"/>
    <s v="20250831T124605004"/>
    <n v="0"/>
    <s v="decomposedRandom"/>
    <n v="2472.899430628936"/>
    <s v="20250831 12:46:05"/>
    <n v="0"/>
    <n v="811.19851818700749"/>
    <n v="3601.5239999999999"/>
    <n v="1661.7009124419285"/>
  </r>
  <r>
    <x v="474"/>
    <x v="9"/>
    <x v="7"/>
    <x v="2"/>
    <x v="2"/>
    <s v="20250831T125508078"/>
    <n v="0"/>
    <s v="decomposedRandom"/>
    <n v="2421.0646034384959"/>
    <s v="20250831 12:55:08"/>
    <n v="0"/>
    <n v="660.88404757604815"/>
    <n v="3601.3910000000001"/>
    <n v="1760.1805558624478"/>
  </r>
  <r>
    <x v="475"/>
    <x v="0"/>
    <x v="0"/>
    <x v="0"/>
    <x v="3"/>
    <s v="20250831T131027197"/>
    <n v="0"/>
    <s v="localRefinement"/>
    <n v="19.113158371209611"/>
    <s v="20250831 13:10:27"/>
    <n v="0"/>
    <n v="13.65585150405872"/>
    <n v="3600.0839999999998"/>
    <n v="5.4573068671508906"/>
  </r>
  <r>
    <x v="476"/>
    <x v="0"/>
    <x v="0"/>
    <x v="1"/>
    <x v="3"/>
    <s v="20250831T131027197"/>
    <n v="0"/>
    <s v="localRefinement"/>
    <n v="22.152430125032968"/>
    <s v="20250831 13:10:27"/>
    <n v="0"/>
    <n v="15.191026988511776"/>
    <n v="3600.0920000000001"/>
    <n v="6.9614031365211915"/>
  </r>
  <r>
    <x v="477"/>
    <x v="0"/>
    <x v="0"/>
    <x v="2"/>
    <x v="3"/>
    <s v="20250831T131027197"/>
    <n v="0"/>
    <s v="localRefinement"/>
    <n v="2.3320333963418576"/>
    <s v="20250831 13:10:27"/>
    <n v="0"/>
    <n v="0"/>
    <n v="3600.0909999999999"/>
    <n v="2.3320333963418576"/>
  </r>
  <r>
    <x v="478"/>
    <x v="0"/>
    <x v="0"/>
    <x v="3"/>
    <x v="3"/>
    <s v="20250831T131027197"/>
    <n v="0"/>
    <s v="localRefinement"/>
    <n v="3.9682502908400066"/>
    <s v="20250831 13:10:27"/>
    <n v="0"/>
    <n v="0"/>
    <n v="3600.1"/>
    <n v="3.9682502908400066"/>
  </r>
  <r>
    <x v="479"/>
    <x v="9"/>
    <x v="7"/>
    <x v="3"/>
    <x v="2"/>
    <s v="20250831T131340991"/>
    <n v="0"/>
    <s v="decomposedRandom"/>
    <n v="2594.4888374727238"/>
    <s v="20250831 13:13:40"/>
    <n v="0"/>
    <n v="903.04724942759788"/>
    <n v="3621.7159999999999"/>
    <n v="1691.4415880451259"/>
  </r>
  <r>
    <x v="480"/>
    <x v="9"/>
    <x v="7"/>
    <x v="4"/>
    <x v="0"/>
    <s v="20250831T132429977"/>
    <n v="0"/>
    <s v="decomposedNeighborhoodSearch"/>
    <n v="2337.4109040825592"/>
    <s v="20250831 13:24:29"/>
    <n v="0"/>
    <n v="602.31583421742209"/>
    <n v="3602.127"/>
    <n v="1735.095069865137"/>
  </r>
  <r>
    <x v="481"/>
    <x v="9"/>
    <x v="7"/>
    <x v="4"/>
    <x v="2"/>
    <s v="20250831T133845759"/>
    <n v="0"/>
    <s v="decomposedRandom"/>
    <n v="2528.6291866627716"/>
    <s v="20250831 13:38:45"/>
    <n v="0"/>
    <n v="793.55942906411428"/>
    <n v="3601.7539999999999"/>
    <n v="1735.0697575986571"/>
  </r>
  <r>
    <x v="482"/>
    <x v="0"/>
    <x v="0"/>
    <x v="4"/>
    <x v="3"/>
    <s v="20250831T141027295"/>
    <n v="0"/>
    <s v="localRefinement"/>
    <n v="3.7929994136695404"/>
    <s v="20250831 14:10:27"/>
    <n v="0"/>
    <n v="0"/>
    <n v="3600.0169999999998"/>
    <n v="3.7929994136695404"/>
  </r>
  <r>
    <x v="483"/>
    <x v="1"/>
    <x v="1"/>
    <x v="0"/>
    <x v="3"/>
    <s v="20250831T141027295"/>
    <n v="0"/>
    <s v="localRefinement"/>
    <n v="39.761758749796655"/>
    <s v="20250831 14:10:27"/>
    <n v="0"/>
    <n v="15.017573519538377"/>
    <n v="3600.1260000000002"/>
    <n v="24.744185230258275"/>
  </r>
  <r>
    <x v="484"/>
    <x v="1"/>
    <x v="1"/>
    <x v="1"/>
    <x v="3"/>
    <s v="20250831T141027295"/>
    <n v="0"/>
    <s v="localRefinement"/>
    <n v="41.555424227173049"/>
    <s v="20250831 14:10:27"/>
    <n v="0"/>
    <n v="15.435811686593444"/>
    <n v="3600.096"/>
    <n v="26.119612540579602"/>
  </r>
  <r>
    <x v="485"/>
    <x v="1"/>
    <x v="1"/>
    <x v="2"/>
    <x v="3"/>
    <s v="20250831T141027298"/>
    <n v="0"/>
    <s v="localRefinement"/>
    <n v="19.740402093227388"/>
    <s v="20250831 14:10:27"/>
    <n v="0"/>
    <n v="0"/>
    <n v="3600.0990000000002"/>
    <n v="19.740402093227388"/>
  </r>
  <r>
    <x v="486"/>
    <x v="1"/>
    <x v="1"/>
    <x v="3"/>
    <x v="3"/>
    <s v="20250831T151027314"/>
    <n v="0"/>
    <s v="localRefinement"/>
    <n v="22.758820843048206"/>
    <s v="20250831 15:10:27"/>
    <n v="0"/>
    <n v="2.6049284085366962"/>
    <n v="3600.0859999999998"/>
    <n v="20.153892434511508"/>
  </r>
  <r>
    <x v="487"/>
    <x v="1"/>
    <x v="1"/>
    <x v="4"/>
    <x v="3"/>
    <s v="20250831T151027393"/>
    <n v="0"/>
    <s v="localRefinement"/>
    <n v="34.061136441961978"/>
    <s v="20250831 15:10:27"/>
    <n v="0"/>
    <n v="12.047395139822598"/>
    <n v="3600.1219999999998"/>
    <n v="22.013741302139383"/>
  </r>
  <r>
    <x v="488"/>
    <x v="2"/>
    <x v="2"/>
    <x v="0"/>
    <x v="3"/>
    <s v="20250831T151027400"/>
    <n v="0"/>
    <s v="localRefinement"/>
    <n v="119.85564640508085"/>
    <s v="20250831 15:10:27"/>
    <n v="0"/>
    <n v="59.591572872784781"/>
    <n v="3602.9740000000002"/>
    <n v="60.264073532296074"/>
  </r>
  <r>
    <x v="489"/>
    <x v="2"/>
    <x v="2"/>
    <x v="1"/>
    <x v="3"/>
    <s v="20250831T151027422"/>
    <n v="0"/>
    <s v="localRefinement"/>
    <n v="79.130001975071039"/>
    <s v="20250831 15:10:27"/>
    <n v="0"/>
    <n v="36.702961925700549"/>
    <n v="3600.2"/>
    <n v="42.42704004937049"/>
  </r>
  <r>
    <x v="490"/>
    <x v="2"/>
    <x v="2"/>
    <x v="2"/>
    <x v="3"/>
    <s v="20250831T161027407"/>
    <n v="0"/>
    <s v="localRefinement"/>
    <n v="114.59645245371252"/>
    <s v="20250831 16:10:27"/>
    <n v="0"/>
    <n v="60.193046502708938"/>
    <n v="3603.4870000000001"/>
    <n v="54.403405951003585"/>
  </r>
  <r>
    <x v="491"/>
    <x v="2"/>
    <x v="2"/>
    <x v="3"/>
    <x v="3"/>
    <s v="20250831T161027516"/>
    <n v="0"/>
    <s v="localRefinement"/>
    <n v="110.35665208980406"/>
    <s v="20250831 16:10:27"/>
    <n v="0"/>
    <n v="67.705453741172036"/>
    <n v="3600.2860000000001"/>
    <n v="42.651198348632022"/>
  </r>
  <r>
    <x v="492"/>
    <x v="2"/>
    <x v="2"/>
    <x v="4"/>
    <x v="3"/>
    <s v="20250831T161027624"/>
    <n v="0"/>
    <s v="localRefinement"/>
    <n v="67.93833028370095"/>
    <s v="20250831 16:10:27"/>
    <n v="0"/>
    <n v="14.918338400729827"/>
    <n v="3600.2489999999998"/>
    <n v="53.019991882971127"/>
  </r>
  <r>
    <x v="493"/>
    <x v="3"/>
    <x v="3"/>
    <x v="0"/>
    <x v="3"/>
    <s v="20250831T161030375"/>
    <n v="0"/>
    <s v="localRefinement"/>
    <n v="139.8957524937764"/>
    <s v="20250831 16:10:30"/>
    <n v="0"/>
    <n v="65.407711283563643"/>
    <n v="3600.43"/>
    <n v="74.488041210212742"/>
  </r>
  <r>
    <x v="494"/>
    <x v="0"/>
    <x v="0"/>
    <x v="0"/>
    <x v="1"/>
    <s v="20250831T163527958"/>
    <n v="0"/>
    <s v="cplexIntegrated"/>
    <n v="19.113158371209611"/>
    <s v="20250831 16:35:27"/>
    <n v="0"/>
    <n v="13.65585150405872"/>
    <n v="2.3029999999999999"/>
    <n v="5.4573068671508906"/>
  </r>
  <r>
    <x v="495"/>
    <x v="0"/>
    <x v="0"/>
    <x v="1"/>
    <x v="1"/>
    <s v="20250831T163527958"/>
    <n v="0"/>
    <s v="cplexIntegrated"/>
    <n v="22.152430125032964"/>
    <s v="20250831 16:35:27"/>
    <n v="0"/>
    <n v="15.191026988511776"/>
    <n v="4.9210000000000003"/>
    <n v="6.9614031365211897"/>
  </r>
  <r>
    <x v="496"/>
    <x v="0"/>
    <x v="0"/>
    <x v="2"/>
    <x v="1"/>
    <s v="20250831T163527958"/>
    <n v="0"/>
    <s v="cplexIntegrated"/>
    <n v="2.3320333963418576"/>
    <s v="20250831 16:35:27"/>
    <n v="0"/>
    <n v="0"/>
    <n v="0.90700000000000003"/>
    <n v="2.3320333963418576"/>
  </r>
  <r>
    <x v="497"/>
    <x v="0"/>
    <x v="0"/>
    <x v="3"/>
    <x v="1"/>
    <s v="20250831T163527958"/>
    <n v="0"/>
    <s v="cplexIntegrated"/>
    <n v="3.968250290840007"/>
    <s v="20250831 16:35:27"/>
    <n v="0"/>
    <n v="0"/>
    <n v="2.5099999999999998"/>
    <n v="3.968250290840007"/>
  </r>
  <r>
    <x v="498"/>
    <x v="0"/>
    <x v="0"/>
    <x v="4"/>
    <x v="1"/>
    <s v="20250831T163528876"/>
    <n v="0"/>
    <s v="cplexIntegrated"/>
    <n v="3.7929994136695395"/>
    <s v="20250831 16:35:28"/>
    <n v="0"/>
    <n v="0"/>
    <n v="1.538"/>
    <n v="3.7929994136695395"/>
  </r>
  <r>
    <x v="499"/>
    <x v="1"/>
    <x v="1"/>
    <x v="0"/>
    <x v="1"/>
    <s v="20250831T163530264"/>
    <n v="0"/>
    <s v="cplexIntegrated"/>
    <n v="39.75575014615066"/>
    <s v="20250831 16:35:30"/>
    <n v="9.0671677550743519E-4"/>
    <n v="15.017573519538377"/>
    <n v="3601.355"/>
    <n v="24.738176626612283"/>
  </r>
  <r>
    <x v="500"/>
    <x v="1"/>
    <x v="1"/>
    <x v="1"/>
    <x v="1"/>
    <s v="20250831T163530416"/>
    <n v="0"/>
    <s v="cplexIntegrated"/>
    <n v="41.555424227173049"/>
    <s v="20250831 16:35:30"/>
    <n v="8.2186408665249551E-5"/>
    <n v="15.435811686593444"/>
    <n v="207.953"/>
    <n v="26.119612540579602"/>
  </r>
  <r>
    <x v="501"/>
    <x v="1"/>
    <x v="1"/>
    <x v="2"/>
    <x v="1"/>
    <s v="20250831T163530471"/>
    <n v="0"/>
    <s v="cplexIntegrated"/>
    <n v="19.740402093227388"/>
    <s v="20250831 16:35:30"/>
    <n v="0"/>
    <n v="0"/>
    <n v="820.41899999999998"/>
    <n v="19.740402093227388"/>
  </r>
  <r>
    <x v="502"/>
    <x v="1"/>
    <x v="1"/>
    <x v="3"/>
    <x v="1"/>
    <s v="20250831T163532881"/>
    <n v="0"/>
    <s v="cplexIntegrated"/>
    <n v="22.758820843048195"/>
    <s v="20250831 16:35:32"/>
    <n v="4.9312486298519831E-3"/>
    <n v="2.6049284085366962"/>
    <n v="3601.018"/>
    <n v="20.153892434511498"/>
  </r>
  <r>
    <x v="503"/>
    <x v="1"/>
    <x v="1"/>
    <x v="4"/>
    <x v="1"/>
    <s v="20250831T163858371"/>
    <n v="0"/>
    <s v="cplexIntegrated"/>
    <n v="34.061136441961978"/>
    <s v="20250831 16:38:58"/>
    <n v="4.2144084673436605E-3"/>
    <n v="12.047395139822598"/>
    <n v="3601.0390000000002"/>
    <n v="22.01374130213938"/>
  </r>
  <r>
    <x v="504"/>
    <x v="2"/>
    <x v="2"/>
    <x v="0"/>
    <x v="1"/>
    <s v="20250831T164910892"/>
    <n v="20"/>
    <s v="cplexIntegrated"/>
    <n v="1014.7879161034551"/>
    <s v="20250831 16:49:10"/>
    <n v="0.93890347617094894"/>
    <n v="928.48200960192048"/>
    <n v="3603.576"/>
    <n v="66.305906501534665"/>
  </r>
  <r>
    <x v="505"/>
    <x v="3"/>
    <x v="3"/>
    <x v="1"/>
    <x v="3"/>
    <s v="20250831T171027806"/>
    <n v="0"/>
    <s v="localRefinement"/>
    <n v="130.67448008437844"/>
    <s v="20250831 17:10:27"/>
    <n v="0"/>
    <n v="54.09398811380521"/>
    <n v="3600.4749999999999"/>
    <n v="76.580491970573249"/>
  </r>
  <r>
    <x v="506"/>
    <x v="3"/>
    <x v="3"/>
    <x v="2"/>
    <x v="3"/>
    <s v="20250831T171027876"/>
    <n v="0"/>
    <s v="localRefinement"/>
    <n v="139.7686740833378"/>
    <s v="20250831 17:10:27"/>
    <n v="0"/>
    <n v="68.13194711891343"/>
    <n v="3600.4780000000001"/>
    <n v="71.636726964424369"/>
  </r>
  <r>
    <x v="507"/>
    <x v="3"/>
    <x v="3"/>
    <x v="3"/>
    <x v="3"/>
    <s v="20250831T171030807"/>
    <n v="0"/>
    <s v="localRefinement"/>
    <n v="153.50249196774706"/>
    <s v="20250831 17:10:30"/>
    <n v="0"/>
    <n v="76.070895099286147"/>
    <n v="3600.4569999999999"/>
    <n v="77.431596868460915"/>
  </r>
  <r>
    <x v="508"/>
    <x v="3"/>
    <x v="3"/>
    <x v="4"/>
    <x v="3"/>
    <s v="20250831T171030895"/>
    <n v="0"/>
    <s v="localRefinement"/>
    <n v="150.38724903240183"/>
    <s v="20250831 17:10:30"/>
    <n v="0"/>
    <n v="70.424630705742416"/>
    <n v="3600.4430000000002"/>
    <n v="79.96261832665941"/>
  </r>
  <r>
    <x v="509"/>
    <x v="2"/>
    <x v="2"/>
    <x v="1"/>
    <x v="1"/>
    <s v="20250831T173531622"/>
    <n v="0"/>
    <s v="cplexIntegrated"/>
    <n v="95.557259588525312"/>
    <s v="20250831 17:35:31"/>
    <n v="0.3902552040483972"/>
    <n v="52.541814770231596"/>
    <n v="3603.6089999999999"/>
    <n v="43.015444818293709"/>
  </r>
  <r>
    <x v="510"/>
    <x v="2"/>
    <x v="2"/>
    <x v="2"/>
    <x v="1"/>
    <s v="20250831T173533901"/>
    <n v="0"/>
    <s v="cplexIntegrated"/>
    <n v="600.59706196367097"/>
    <s v="20250831 17:35:33"/>
    <n v="0.90846865434963198"/>
    <n v="538.83700134937135"/>
    <n v="3603.5230000000001"/>
    <n v="61.760060614299675"/>
  </r>
  <r>
    <x v="511"/>
    <x v="2"/>
    <x v="2"/>
    <x v="3"/>
    <x v="1"/>
    <s v="20250831T173859412"/>
    <n v="0"/>
    <s v="cplexIntegrated"/>
    <n v="79.090030546070395"/>
    <s v="20250831 17:38:59"/>
    <n v="0.30597889132136707"/>
    <n v="35.919588730635482"/>
    <n v="3603.453"/>
    <n v="43.170441815434913"/>
  </r>
  <r>
    <x v="512"/>
    <x v="2"/>
    <x v="2"/>
    <x v="4"/>
    <x v="1"/>
    <s v="20250831T174914470"/>
    <n v="0"/>
    <s v="cplexIntegrated"/>
    <n v="62.581996299609443"/>
    <s v="20250831 17:49:14"/>
    <n v="1.7105361952065104E-3"/>
    <n v="9.5620044166382758"/>
    <n v="3602.9180000000001"/>
    <n v="53.019991882971169"/>
  </r>
  <r>
    <x v="513"/>
    <x v="4"/>
    <x v="4"/>
    <x v="0"/>
    <x v="3"/>
    <s v="20250831T181028283"/>
    <n v="0"/>
    <s v="localRefinement"/>
    <n v="161.43302259709776"/>
    <s v="20250831 18:10:28"/>
    <n v="0"/>
    <n v="63.839190925413376"/>
    <n v="3600.7280000000001"/>
    <n v="97.59383167168437"/>
  </r>
  <r>
    <x v="514"/>
    <x v="4"/>
    <x v="4"/>
    <x v="1"/>
    <x v="3"/>
    <s v="20250831T181028355"/>
    <n v="0"/>
    <s v="localRefinement"/>
    <n v="192.30465255029085"/>
    <s v="20250831 18:10:28"/>
    <n v="0"/>
    <n v="92.492695376137988"/>
    <n v="3601.0169999999998"/>
    <n v="99.811957174152866"/>
  </r>
  <r>
    <x v="515"/>
    <x v="4"/>
    <x v="4"/>
    <x v="2"/>
    <x v="3"/>
    <s v="20250831T181031265"/>
    <n v="0"/>
    <s v="localRefinement"/>
    <n v="148.07209015376804"/>
    <s v="20250831 18:10:31"/>
    <n v="0"/>
    <n v="48.647306601393005"/>
    <n v="3600.8310000000001"/>
    <n v="99.424783552375033"/>
  </r>
  <r>
    <x v="516"/>
    <x v="4"/>
    <x v="4"/>
    <x v="3"/>
    <x v="3"/>
    <s v="20250831T181031340"/>
    <n v="0"/>
    <s v="localRefinement"/>
    <n v="172.5957766878399"/>
    <s v="20250831 18:10:31"/>
    <n v="0"/>
    <n v="76.646267546592057"/>
    <n v="3600.8"/>
    <n v="95.949509141247844"/>
  </r>
  <r>
    <x v="517"/>
    <x v="3"/>
    <x v="3"/>
    <x v="0"/>
    <x v="1"/>
    <s v="20250831T183535234"/>
    <n v="40"/>
    <s v="cplexIntegrated"/>
    <n v="1779.0503180665351"/>
    <s v="20250831 18:35:35"/>
    <n v="0.99645958548608748"/>
    <n v="1634.565826865452"/>
    <n v="3608.6219999999998"/>
    <n v="104.48449120108297"/>
  </r>
  <r>
    <x v="518"/>
    <x v="3"/>
    <x v="3"/>
    <x v="1"/>
    <x v="1"/>
    <s v="20250831T183537426"/>
    <n v="40"/>
    <s v="cplexIntegrated"/>
    <n v="1485.9867313469467"/>
    <s v="20250831 18:35:37"/>
    <n v="0.99564039637029755"/>
    <n v="1339.1586059643037"/>
    <n v="3608.384"/>
    <n v="106.82812538264318"/>
  </r>
  <r>
    <x v="519"/>
    <x v="3"/>
    <x v="3"/>
    <x v="2"/>
    <x v="1"/>
    <s v="20250831T183902868"/>
    <n v="60"/>
    <s v="cplexIntegrated"/>
    <n v="1361.0478745513392"/>
    <s v="20250831 18:39:02"/>
    <n v="0.99625957088498274"/>
    <n v="1202.5589931638447"/>
    <n v="3607.9450000000002"/>
    <n v="98.488881387494629"/>
  </r>
  <r>
    <x v="520"/>
    <x v="3"/>
    <x v="3"/>
    <x v="3"/>
    <x v="1"/>
    <s v="20250831T184917391"/>
    <n v="60"/>
    <s v="cplexIntegrated"/>
    <n v="1390.0675692228908"/>
    <s v="20250831 18:49:17"/>
    <n v="0.99647376277875233"/>
    <n v="1222.7067611754871"/>
    <n v="3608.1179999999999"/>
    <n v="107.36080804740371"/>
  </r>
  <r>
    <x v="521"/>
    <x v="4"/>
    <x v="4"/>
    <x v="4"/>
    <x v="3"/>
    <s v="20250831T191029014"/>
    <n v="0"/>
    <s v="localRefinement"/>
    <n v="221.23502350238041"/>
    <s v="20250831 19:10:29"/>
    <n v="0"/>
    <n v="104.21384200703658"/>
    <n v="3600.944"/>
    <n v="117.02118149534384"/>
  </r>
  <r>
    <x v="522"/>
    <x v="5"/>
    <x v="1"/>
    <x v="0"/>
    <x v="3"/>
    <s v="20250831T191029375"/>
    <n v="0"/>
    <s v="localRefinement"/>
    <n v="319.53606947777735"/>
    <s v="20250831 19:10:29"/>
    <n v="0"/>
    <n v="191.18367072222873"/>
    <n v="3600.692"/>
    <n v="128.35239875554862"/>
  </r>
  <r>
    <x v="523"/>
    <x v="5"/>
    <x v="1"/>
    <x v="1"/>
    <x v="3"/>
    <s v="20250831T191032098"/>
    <n v="0"/>
    <s v="localRefinement"/>
    <n v="331.50048436174211"/>
    <s v="20250831 19:10:32"/>
    <n v="0"/>
    <n v="187.52545556932"/>
    <n v="3600.6880000000001"/>
    <n v="143.97502879242211"/>
  </r>
  <r>
    <x v="524"/>
    <x v="5"/>
    <x v="1"/>
    <x v="2"/>
    <x v="3"/>
    <s v="20250831T191032141"/>
    <n v="0"/>
    <s v="localRefinement"/>
    <n v="162.12217431841853"/>
    <s v="20250831 19:10:32"/>
    <n v="0"/>
    <n v="59.380364014667528"/>
    <n v="3600.931"/>
    <n v="102.74181030375101"/>
  </r>
  <r>
    <x v="525"/>
    <x v="3"/>
    <x v="3"/>
    <x v="4"/>
    <x v="1"/>
    <s v="20250831T193543859"/>
    <n v="20"/>
    <s v="cplexIntegrated"/>
    <n v="1279.3915889633035"/>
    <s v="20250831 19:35:43"/>
    <n v="0.99585741574248532"/>
    <n v="1144.8039217868645"/>
    <n v="3609.25"/>
    <n v="114.58766717643908"/>
  </r>
  <r>
    <x v="526"/>
    <x v="4"/>
    <x v="4"/>
    <x v="0"/>
    <x v="1"/>
    <s v="20250831T193545812"/>
    <n v="40"/>
    <s v="cplexIntegrated"/>
    <n v="1557.924887939429"/>
    <s v="20250831 19:35:45"/>
    <n v="0.99597098123196848"/>
    <n v="1370.8169113875263"/>
    <n v="3617.569"/>
    <n v="147.10797655190274"/>
  </r>
  <r>
    <x v="527"/>
    <x v="4"/>
    <x v="4"/>
    <x v="1"/>
    <x v="1"/>
    <s v="20250831T193910816"/>
    <n v="60"/>
    <s v="cplexIntegrated"/>
    <n v="2042.2429125479177"/>
    <s v="20250831 19:39:10"/>
    <n v="0.9957398768016934"/>
    <n v="1818.996034851752"/>
    <n v="3617.3939999999998"/>
    <n v="163.24687769616571"/>
  </r>
  <r>
    <x v="528"/>
    <x v="4"/>
    <x v="4"/>
    <x v="2"/>
    <x v="1"/>
    <s v="20250831T194925511"/>
    <n v="60"/>
    <s v="cplexIntegrated"/>
    <n v="2014.4736320687407"/>
    <s v="20250831 19:49:25"/>
    <n v="0.99614347215230492"/>
    <n v="1792.8313492979107"/>
    <n v="3615.9169999999999"/>
    <n v="161.64228277083004"/>
  </r>
  <r>
    <x v="529"/>
    <x v="5"/>
    <x v="1"/>
    <x v="3"/>
    <x v="3"/>
    <s v="20250831T201029962"/>
    <n v="0"/>
    <s v="localRefinement"/>
    <n v="143.49692738316031"/>
    <s v="20250831 20:10:29"/>
    <n v="0"/>
    <n v="39.037049579772273"/>
    <n v="3600.7139999999999"/>
    <n v="104.45987780338804"/>
  </r>
  <r>
    <x v="530"/>
    <x v="5"/>
    <x v="1"/>
    <x v="4"/>
    <x v="3"/>
    <s v="20250831T201030068"/>
    <n v="0"/>
    <s v="localRefinement"/>
    <n v="301.28076674069325"/>
    <s v="20250831 20:10:30"/>
    <n v="0"/>
    <n v="154.21101101581101"/>
    <n v="3600.73"/>
    <n v="147.06975572488227"/>
  </r>
  <r>
    <x v="531"/>
    <x v="8"/>
    <x v="3"/>
    <x v="0"/>
    <x v="3"/>
    <s v="20250831T201032788"/>
    <n v="0"/>
    <s v="localRefinement"/>
    <n v="669.02320263829938"/>
    <s v="20250831 20:10:32"/>
    <n v="0"/>
    <n v="251.53623479835403"/>
    <n v="3603.4569999999999"/>
    <n v="417.48696783994535"/>
  </r>
  <r>
    <x v="532"/>
    <x v="8"/>
    <x v="3"/>
    <x v="1"/>
    <x v="3"/>
    <s v="20250831T201033074"/>
    <n v="0"/>
    <s v="localRefinement"/>
    <n v="875.64707763803267"/>
    <s v="20250831 20:10:33"/>
    <n v="0"/>
    <n v="460.00794287222044"/>
    <n v="3603.3449999999998"/>
    <n v="415.63913476581217"/>
  </r>
  <r>
    <x v="533"/>
    <x v="4"/>
    <x v="4"/>
    <x v="3"/>
    <x v="1"/>
    <s v="20250831T203553111"/>
    <n v="20"/>
    <s v="cplexIntegrated"/>
    <n v="1918.4566434140004"/>
    <s v="20250831 20:35:53"/>
    <n v="0.99596924402628317"/>
    <n v="1749.3542318027398"/>
    <n v="3617.0039999999999"/>
    <n v="149.10241161126055"/>
  </r>
  <r>
    <x v="534"/>
    <x v="4"/>
    <x v="4"/>
    <x v="4"/>
    <x v="1"/>
    <s v="20250831T203603383"/>
    <n v="60"/>
    <s v="cplexIntegrated"/>
    <n v="2296.9963547158604"/>
    <s v="20250831 20:36:03"/>
    <n v="0.99593425979891625"/>
    <n v="2049.2946867152591"/>
    <n v="3617.3049999999998"/>
    <n v="187.70166800060133"/>
  </r>
  <r>
    <x v="535"/>
    <x v="5"/>
    <x v="1"/>
    <x v="0"/>
    <x v="1"/>
    <s v="20250831T203928212"/>
    <n v="40"/>
    <s v="cplexIntegrated"/>
    <n v="3871.6275880056887"/>
    <s v="20250831 20:39:28"/>
    <n v="0.98971554215165969"/>
    <n v="3677.0962419227162"/>
    <n v="3605.31"/>
    <n v="154.5313460829725"/>
  </r>
  <r>
    <x v="536"/>
    <x v="5"/>
    <x v="1"/>
    <x v="1"/>
    <x v="1"/>
    <s v="20250831T204941431"/>
    <n v="0"/>
    <s v="cplexIntegrated"/>
    <n v="300.12227220326088"/>
    <s v="20250831 20:49:41"/>
    <n v="0.49660646416000853"/>
    <n v="152.8405261836507"/>
    <n v="3605.027"/>
    <n v="147.28174601961018"/>
  </r>
  <r>
    <x v="537"/>
    <x v="8"/>
    <x v="3"/>
    <x v="2"/>
    <x v="3"/>
    <s v="20250831T211030679"/>
    <n v="0"/>
    <s v="localRefinement"/>
    <n v="615.18325638420697"/>
    <s v="20250831 21:10:30"/>
    <n v="0"/>
    <n v="216.00149388126243"/>
    <n v="3604.0259999999998"/>
    <n v="399.18176250294454"/>
  </r>
  <r>
    <x v="538"/>
    <x v="8"/>
    <x v="3"/>
    <x v="3"/>
    <x v="3"/>
    <s v="20250831T211030800"/>
    <n v="0"/>
    <s v="localRefinement"/>
    <n v="872.76363796921987"/>
    <s v="20250831 21:10:30"/>
    <n v="0"/>
    <n v="440.20153694693579"/>
    <n v="3603.6559999999999"/>
    <n v="432.56210102228408"/>
  </r>
  <r>
    <x v="539"/>
    <x v="8"/>
    <x v="3"/>
    <x v="4"/>
    <x v="3"/>
    <s v="20250831T211036248"/>
    <n v="0"/>
    <s v="localRefinement"/>
    <n v="673.31434578204039"/>
    <s v="20250831 21:10:36"/>
    <n v="0"/>
    <n v="271.81183881905395"/>
    <n v="3603.4789999999998"/>
    <n v="401.50250696298639"/>
  </r>
  <r>
    <x v="540"/>
    <x v="6"/>
    <x v="5"/>
    <x v="0"/>
    <x v="3"/>
    <s v="20250831T211036422"/>
    <n v="0"/>
    <s v="localRefinement"/>
    <n v="1208.5581307509215"/>
    <s v="20250831 21:10:36"/>
    <n v="0"/>
    <n v="451.7093195875085"/>
    <n v="3600.922"/>
    <n v="756.84881116341307"/>
  </r>
  <r>
    <x v="541"/>
    <x v="5"/>
    <x v="1"/>
    <x v="2"/>
    <x v="1"/>
    <s v="20250831T213610119"/>
    <n v="0"/>
    <s v="cplexIntegrated"/>
    <n v="119.32010848375801"/>
    <s v="20250831 21:36:10"/>
    <n v="8.0908802167131588E-2"/>
    <n v="15.04688419933338"/>
    <n v="3605.2429999999999"/>
    <n v="104.27322428442463"/>
  </r>
  <r>
    <x v="542"/>
    <x v="5"/>
    <x v="1"/>
    <x v="3"/>
    <x v="1"/>
    <s v="20250831T213620690"/>
    <n v="0"/>
    <s v="cplexIntegrated"/>
    <n v="123.83911959795853"/>
    <s v="20250831 21:36:20"/>
    <n v="7.9172236703176774E-2"/>
    <n v="18.216060585617786"/>
    <n v="3606.4789999999998"/>
    <n v="105.62305901234075"/>
  </r>
  <r>
    <x v="543"/>
    <x v="5"/>
    <x v="1"/>
    <x v="4"/>
    <x v="1"/>
    <s v="20250831T213933525"/>
    <n v="80"/>
    <s v="cplexIntegrated"/>
    <n v="3862.8415668764387"/>
    <s v="20250831 21:39:33"/>
    <n v="0.98817092856988731"/>
    <n v="3606.0808732848154"/>
    <n v="3605.5889999999999"/>
    <n v="176.7606935916231"/>
  </r>
  <r>
    <x v="544"/>
    <x v="6"/>
    <x v="5"/>
    <x v="1"/>
    <x v="3"/>
    <s v="20250831T221034460"/>
    <n v="0"/>
    <s v="localRefinement"/>
    <n v="1375.2095669217042"/>
    <s v="20250831 22:10:34"/>
    <n v="0"/>
    <n v="608.94751176864179"/>
    <n v="3609.5590000000002"/>
    <n v="766.26205515306231"/>
  </r>
  <r>
    <x v="545"/>
    <x v="6"/>
    <x v="5"/>
    <x v="2"/>
    <x v="3"/>
    <s v="20250831T221034708"/>
    <n v="0"/>
    <s v="localRefinement"/>
    <n v="1203.5269269478968"/>
    <s v="20250831 22:10:34"/>
    <n v="0"/>
    <n v="465.88591300497313"/>
    <n v="3609.7049999999999"/>
    <n v="737.64101394292356"/>
  </r>
  <r>
    <x v="546"/>
    <x v="6"/>
    <x v="5"/>
    <x v="3"/>
    <x v="3"/>
    <s v="20250831T221037346"/>
    <n v="0"/>
    <s v="localRefinement"/>
    <n v="1255.0435796468382"/>
    <s v="20250831 22:10:37"/>
    <n v="0"/>
    <n v="483.9848813343566"/>
    <n v="3610.0309999999999"/>
    <n v="771.05869831248162"/>
  </r>
  <r>
    <x v="547"/>
    <x v="6"/>
    <x v="5"/>
    <x v="4"/>
    <x v="3"/>
    <s v="20250831T221039729"/>
    <n v="0"/>
    <s v="localRefinement"/>
    <n v="1298.8821658264528"/>
    <s v="20250831 22:10:39"/>
    <n v="0"/>
    <n v="521.4910259691793"/>
    <n v="3609.8249999999998"/>
    <n v="777.3911398572734"/>
  </r>
  <r>
    <x v="548"/>
    <x v="7"/>
    <x v="6"/>
    <x v="0"/>
    <x v="3"/>
    <s v="20250831T231044024"/>
    <n v="0"/>
    <s v="localRefinement"/>
    <n v="1877.1186387918679"/>
    <s v="20250831 23:10:44"/>
    <n v="0"/>
    <n v="650.5432159590074"/>
    <n v="3624.6260000000002"/>
    <n v="1226.5754228328606"/>
  </r>
  <r>
    <x v="549"/>
    <x v="7"/>
    <x v="6"/>
    <x v="1"/>
    <x v="3"/>
    <s v="20250831T231044416"/>
    <n v="0"/>
    <s v="localRefinement"/>
    <n v="1767.6053310804286"/>
    <s v="20250831 23:10:44"/>
    <n v="0"/>
    <n v="592.86053512542378"/>
    <n v="3623.616"/>
    <n v="1174.7447959550047"/>
  </r>
  <r>
    <x v="550"/>
    <x v="7"/>
    <x v="6"/>
    <x v="2"/>
    <x v="3"/>
    <s v="20250831T231047380"/>
    <n v="0"/>
    <s v="localRefinement"/>
    <n v="1769.4187633508227"/>
    <s v="20250831 23:10:47"/>
    <n v="0"/>
    <n v="552.89615829412958"/>
    <n v="3625.962"/>
    <n v="1216.522605056693"/>
  </r>
  <r>
    <x v="551"/>
    <x v="7"/>
    <x v="6"/>
    <x v="3"/>
    <x v="3"/>
    <s v="20250831T231049556"/>
    <n v="0"/>
    <s v="localRefinement"/>
    <n v="1810.7983751956524"/>
    <s v="20250831 23:10:49"/>
    <n v="0"/>
    <n v="677.3761324582315"/>
    <n v="3624.962"/>
    <n v="1133.4222427374209"/>
  </r>
  <r>
    <x v="552"/>
    <x v="7"/>
    <x v="6"/>
    <x v="4"/>
    <x v="3"/>
    <s v="20250901T001108037"/>
    <n v="0"/>
    <s v="localRefinement"/>
    <n v="1916.5490088828678"/>
    <s v="20250901 00:11:08"/>
    <n v="0"/>
    <n v="717.16665129065268"/>
    <n v="3624.8969999999999"/>
    <n v="1199.3823575922152"/>
  </r>
  <r>
    <x v="553"/>
    <x v="9"/>
    <x v="7"/>
    <x v="0"/>
    <x v="3"/>
    <s v="20250901T001108653"/>
    <n v="0"/>
    <s v="localRefinement"/>
    <n v="2628.2778167134284"/>
    <s v="20250901 00:11:08"/>
    <n v="0"/>
    <n v="873.85163664772745"/>
    <n v="3652.61"/>
    <n v="1754.4261800657011"/>
  </r>
  <r>
    <x v="554"/>
    <x v="9"/>
    <x v="7"/>
    <x v="1"/>
    <x v="3"/>
    <s v="20250901T001113344"/>
    <n v="0"/>
    <s v="localRefinement"/>
    <n v="2489.2333634341867"/>
    <s v="20250901 00:11:13"/>
    <n v="0"/>
    <n v="828.71250755553388"/>
    <n v="3649.3110000000001"/>
    <n v="1660.520855878653"/>
  </r>
  <r>
    <x v="555"/>
    <x v="9"/>
    <x v="7"/>
    <x v="2"/>
    <x v="3"/>
    <s v="20250901T001114521"/>
    <n v="0"/>
    <s v="localRefinement"/>
    <n v="2431.472135671559"/>
    <s v="20250901 00:11:14"/>
    <n v="0"/>
    <n v="672.34303569419637"/>
    <n v="3654.4169999999999"/>
    <n v="1759.1290999773626"/>
  </r>
  <r>
    <x v="556"/>
    <x v="9"/>
    <x v="7"/>
    <x v="3"/>
    <x v="3"/>
    <s v="20250901T011132941"/>
    <n v="0"/>
    <s v="localRefinement"/>
    <n v="2621.9457205559188"/>
    <s v="20250901 01:11:32"/>
    <n v="0"/>
    <n v="930.067859079507"/>
    <n v="3642.3420000000001"/>
    <n v="1691.8778614764117"/>
  </r>
  <r>
    <x v="557"/>
    <x v="9"/>
    <x v="7"/>
    <x v="4"/>
    <x v="3"/>
    <s v="20250901T011201266"/>
    <n v="0"/>
    <s v="localRefinement"/>
    <n v="2537.2195221448696"/>
    <s v="20250901 01:12:01"/>
    <n v="0"/>
    <n v="800.89909719622563"/>
    <n v="3640.69"/>
    <n v="1736.3204249486441"/>
  </r>
  <r>
    <x v="558"/>
    <x v="10"/>
    <x v="5"/>
    <x v="0"/>
    <x v="2"/>
    <s v="20250904T002509583"/>
    <n v="0"/>
    <s v="decomposedRandom"/>
    <n v="208.41107395894616"/>
    <s v="20250904 00:25:09"/>
    <n v="0"/>
    <n v="48.337087662735108"/>
    <n v="3601.1210000000001"/>
    <n v="160.07398629621105"/>
  </r>
  <r>
    <x v="559"/>
    <x v="10"/>
    <x v="5"/>
    <x v="1"/>
    <x v="2"/>
    <s v="20250904T002509583"/>
    <n v="0"/>
    <s v="decomposedRandom"/>
    <n v="224.40392164510226"/>
    <s v="20250904 00:25:09"/>
    <n v="0"/>
    <n v="78.827587887538499"/>
    <n v="3601.0610000000001"/>
    <n v="145.57633375756376"/>
  </r>
  <r>
    <x v="560"/>
    <x v="10"/>
    <x v="5"/>
    <x v="0"/>
    <x v="3"/>
    <s v="20250904T002525250"/>
    <n v="0"/>
    <s v="localRefinement"/>
    <n v="254.51050153963263"/>
    <s v="20250904 00:25:25"/>
    <n v="0"/>
    <n v="98.346326679178517"/>
    <n v="3601.2150000000001"/>
    <n v="156.1641748604541"/>
  </r>
  <r>
    <x v="561"/>
    <x v="10"/>
    <x v="5"/>
    <x v="1"/>
    <x v="3"/>
    <s v="20250904T002525250"/>
    <n v="0"/>
    <s v="localRefinement"/>
    <n v="285.9167621223346"/>
    <s v="20250904 00:25:25"/>
    <n v="0"/>
    <n v="143.00523671919831"/>
    <n v="3601.605"/>
    <n v="142.91152540313632"/>
  </r>
  <r>
    <x v="562"/>
    <x v="10"/>
    <x v="5"/>
    <x v="2"/>
    <x v="2"/>
    <s v="20250904T012510656"/>
    <n v="0"/>
    <s v="decomposedRandom"/>
    <n v="240.12338346778881"/>
    <s v="20250904 01:25:10"/>
    <n v="0"/>
    <n v="72.204582893483206"/>
    <n v="3600.857"/>
    <n v="167.91880057430561"/>
  </r>
  <r>
    <x v="563"/>
    <x v="10"/>
    <x v="5"/>
    <x v="3"/>
    <x v="2"/>
    <s v="20250904T012510707"/>
    <n v="0"/>
    <s v="decomposedRandom"/>
    <n v="173.48320515526152"/>
    <s v="20250904 01:25:10"/>
    <n v="0"/>
    <n v="37.856389645623061"/>
    <n v="3600.2930000000001"/>
    <n v="135.62681550963845"/>
  </r>
  <r>
    <x v="564"/>
    <x v="10"/>
    <x v="5"/>
    <x v="2"/>
    <x v="3"/>
    <s v="20250904T012526475"/>
    <n v="0"/>
    <s v="localRefinement"/>
    <n v="319.5934581953336"/>
    <s v="20250904 01:25:26"/>
    <n v="0"/>
    <n v="155.18871457219433"/>
    <n v="3601.2910000000002"/>
    <n v="164.4047436231393"/>
  </r>
  <r>
    <x v="565"/>
    <x v="10"/>
    <x v="5"/>
    <x v="3"/>
    <x v="3"/>
    <s v="20250904T012526857"/>
    <n v="0"/>
    <s v="localRefinement"/>
    <n v="212.9445392611463"/>
    <s v="20250904 01:25:26"/>
    <n v="0"/>
    <n v="80.878099762699193"/>
    <n v="3601.134"/>
    <n v="132.0664394984471"/>
  </r>
  <r>
    <x v="566"/>
    <x v="10"/>
    <x v="5"/>
    <x v="4"/>
    <x v="2"/>
    <s v="20250904T022511003"/>
    <n v="0"/>
    <s v="decomposedRandom"/>
    <n v="192.09103257221071"/>
    <s v="20250904 02:25:11"/>
    <n v="0"/>
    <n v="30.268586770121907"/>
    <n v="3600.3710000000001"/>
    <n v="161.82244580208879"/>
  </r>
  <r>
    <x v="567"/>
    <x v="11"/>
    <x v="6"/>
    <x v="0"/>
    <x v="2"/>
    <s v="20250904T022511515"/>
    <n v="0"/>
    <s v="decomposedRandom"/>
    <n v="288.24939645475501"/>
    <s v="20250904 02:25:11"/>
    <n v="0"/>
    <n v="76.541955911285186"/>
    <n v="3600.2779999999998"/>
    <n v="211.70744054346986"/>
  </r>
  <r>
    <x v="568"/>
    <x v="10"/>
    <x v="5"/>
    <x v="4"/>
    <x v="3"/>
    <s v="20250904T022527768"/>
    <n v="0"/>
    <s v="localRefinement"/>
    <n v="219.92113333375823"/>
    <s v="20250904 02:25:27"/>
    <n v="0"/>
    <n v="60.808088012470613"/>
    <n v="3601.1329999999998"/>
    <n v="159.11304532128761"/>
  </r>
  <r>
    <x v="569"/>
    <x v="11"/>
    <x v="6"/>
    <x v="0"/>
    <x v="3"/>
    <s v="20250904T022527994"/>
    <n v="0"/>
    <s v="localRefinement"/>
    <n v="324.79169230152337"/>
    <s v="20250904 02:25:27"/>
    <n v="0"/>
    <n v="117.0374673252949"/>
    <n v="3602.0889999999999"/>
    <n v="207.75422497622847"/>
  </r>
  <r>
    <x v="570"/>
    <x v="11"/>
    <x v="6"/>
    <x v="1"/>
    <x v="2"/>
    <s v="20250904T032511377"/>
    <n v="0"/>
    <s v="decomposedRandom"/>
    <n v="292.07670099049051"/>
    <s v="20250904 03:25:11"/>
    <n v="0"/>
    <n v="71.26141622809979"/>
    <n v="3600.1909999999998"/>
    <n v="220.81528476239075"/>
  </r>
  <r>
    <x v="571"/>
    <x v="11"/>
    <x v="6"/>
    <x v="2"/>
    <x v="2"/>
    <s v="20250904T032511795"/>
    <n v="0"/>
    <s v="decomposedRandom"/>
    <n v="322.45315191368309"/>
    <s v="20250904 03:25:11"/>
    <n v="0"/>
    <n v="108.33980444948841"/>
    <n v="3600.37"/>
    <n v="214.1133474641947"/>
  </r>
  <r>
    <x v="572"/>
    <x v="11"/>
    <x v="6"/>
    <x v="1"/>
    <x v="3"/>
    <s v="20250904T032528903"/>
    <n v="0"/>
    <s v="localRefinement"/>
    <n v="338.10142246124013"/>
    <s v="20250904 03:25:28"/>
    <n v="0"/>
    <n v="120.26210586352846"/>
    <n v="3602.4810000000002"/>
    <n v="217.83931659771167"/>
  </r>
  <r>
    <x v="573"/>
    <x v="11"/>
    <x v="6"/>
    <x v="2"/>
    <x v="3"/>
    <s v="20250904T032530084"/>
    <n v="0"/>
    <s v="localRefinement"/>
    <n v="337.54761531325056"/>
    <s v="20250904 03:25:30"/>
    <n v="0"/>
    <n v="127.73039261018734"/>
    <n v="3601.97"/>
    <n v="209.81722270306321"/>
  </r>
  <r>
    <x v="574"/>
    <x v="11"/>
    <x v="6"/>
    <x v="3"/>
    <x v="2"/>
    <s v="20250904T042511571"/>
    <n v="0"/>
    <s v="decomposedRandom"/>
    <n v="293.32710989082091"/>
    <s v="20250904 04:25:11"/>
    <n v="0"/>
    <n v="61.771520501879223"/>
    <n v="3600.3420000000001"/>
    <n v="231.55558938894171"/>
  </r>
  <r>
    <x v="575"/>
    <x v="11"/>
    <x v="6"/>
    <x v="4"/>
    <x v="2"/>
    <s v="20250904T042512168"/>
    <n v="0"/>
    <s v="decomposedRandom"/>
    <n v="337.10442587511358"/>
    <s v="20250904 04:25:12"/>
    <n v="0"/>
    <n v="116.04317838814964"/>
    <n v="3601.0189999999998"/>
    <n v="221.06124748696394"/>
  </r>
  <r>
    <x v="576"/>
    <x v="11"/>
    <x v="6"/>
    <x v="3"/>
    <x v="3"/>
    <s v="20250904T042531387"/>
    <n v="0"/>
    <s v="localRefinement"/>
    <n v="336.4004596942421"/>
    <s v="20250904 04:25:31"/>
    <n v="0"/>
    <n v="109.44295316733864"/>
    <n v="3601.93"/>
    <n v="226.95750652690347"/>
  </r>
  <r>
    <x v="577"/>
    <x v="11"/>
    <x v="6"/>
    <x v="4"/>
    <x v="3"/>
    <s v="20250904T042532056"/>
    <n v="0"/>
    <s v="localRefinement"/>
    <n v="386.31896932749197"/>
    <s v="20250904 04:25:32"/>
    <n v="0"/>
    <n v="169.83949800295696"/>
    <n v="3602.2629999999999"/>
    <n v="216.47947132453501"/>
  </r>
  <r>
    <x v="578"/>
    <x v="12"/>
    <x v="7"/>
    <x v="0"/>
    <x v="2"/>
    <s v="20250904T052511916"/>
    <n v="0"/>
    <s v="decomposedRandom"/>
    <n v="470.00850554313564"/>
    <s v="20250904 05:25:11"/>
    <n v="0"/>
    <n v="140.53894971169075"/>
    <n v="3600.6559999999999"/>
    <n v="329.46955583144489"/>
  </r>
  <r>
    <x v="579"/>
    <x v="12"/>
    <x v="7"/>
    <x v="1"/>
    <x v="2"/>
    <s v="20250904T052513188"/>
    <n v="0"/>
    <s v="decomposedRandom"/>
    <n v="467.25810398684257"/>
    <s v="20250904 05:25:13"/>
    <n v="0"/>
    <n v="171.80102279084124"/>
    <n v="3600.67"/>
    <n v="295.4570811960013"/>
  </r>
  <r>
    <x v="580"/>
    <x v="12"/>
    <x v="7"/>
    <x v="0"/>
    <x v="3"/>
    <s v="20250904T052533320"/>
    <n v="0"/>
    <s v="localRefinement"/>
    <n v="512.01876424889235"/>
    <s v="20250904 05:25:33"/>
    <n v="0"/>
    <n v="179.05516748631374"/>
    <n v="3603.6770000000001"/>
    <n v="332.96359676257862"/>
  </r>
  <r>
    <x v="581"/>
    <x v="12"/>
    <x v="7"/>
    <x v="1"/>
    <x v="3"/>
    <s v="20250904T052534320"/>
    <n v="0"/>
    <s v="localRefinement"/>
    <n v="493.06308198393799"/>
    <s v="20250904 05:25:34"/>
    <n v="0"/>
    <n v="206.05697680362081"/>
    <n v="3603.6619999999998"/>
    <n v="287.00610518031721"/>
  </r>
  <r>
    <x v="582"/>
    <x v="12"/>
    <x v="7"/>
    <x v="2"/>
    <x v="2"/>
    <s v="20250904T062512574"/>
    <n v="0"/>
    <s v="decomposedRandom"/>
    <n v="396.84192610446109"/>
    <s v="20250904 06:25:12"/>
    <n v="0"/>
    <n v="73.176449475836677"/>
    <n v="3600.2289999999998"/>
    <n v="323.66547662862439"/>
  </r>
  <r>
    <x v="583"/>
    <x v="12"/>
    <x v="7"/>
    <x v="3"/>
    <x v="2"/>
    <s v="20250904T062513861"/>
    <n v="0"/>
    <s v="decomposedRandom"/>
    <n v="429.10312486738792"/>
    <s v="20250904 06:25:13"/>
    <n v="0"/>
    <n v="123.18665544117677"/>
    <n v="3601.1060000000002"/>
    <n v="305.91646942621117"/>
  </r>
  <r>
    <x v="584"/>
    <x v="12"/>
    <x v="7"/>
    <x v="2"/>
    <x v="3"/>
    <s v="20250904T062537000"/>
    <n v="0"/>
    <s v="localRefinement"/>
    <n v="462.66549612787236"/>
    <s v="20250904 06:25:37"/>
    <n v="0"/>
    <n v="136.2873965141805"/>
    <n v="3603.366"/>
    <n v="326.37809961369186"/>
  </r>
  <r>
    <x v="585"/>
    <x v="12"/>
    <x v="7"/>
    <x v="3"/>
    <x v="3"/>
    <s v="20250904T062537984"/>
    <n v="0"/>
    <s v="localRefinement"/>
    <n v="452.15871014547923"/>
    <s v="20250904 06:25:37"/>
    <n v="0"/>
    <n v="151.80899650822744"/>
    <n v="3603.3330000000001"/>
    <n v="300.3497136372518"/>
  </r>
  <r>
    <x v="586"/>
    <x v="12"/>
    <x v="7"/>
    <x v="4"/>
    <x v="2"/>
    <s v="20250904T072512810"/>
    <n v="0"/>
    <s v="decomposedRandom"/>
    <n v="393.01949209820719"/>
    <s v="20250904 07:25:12"/>
    <n v="0"/>
    <n v="84.337484450147542"/>
    <n v="3600.9560000000001"/>
    <n v="308.68200764805965"/>
  </r>
  <r>
    <x v="587"/>
    <x v="12"/>
    <x v="7"/>
    <x v="4"/>
    <x v="3"/>
    <s v="20250904T072540368"/>
    <n v="0"/>
    <s v="localRefinement"/>
    <n v="487.9726660085289"/>
    <s v="20250904 07:25:40"/>
    <n v="0"/>
    <n v="183.84296130173738"/>
    <n v="3602.9119999999998"/>
    <n v="304.12970470679153"/>
  </r>
  <r>
    <x v="588"/>
    <x v="10"/>
    <x v="5"/>
    <x v="0"/>
    <x v="0"/>
    <s v="20250904T234629100"/>
    <n v="0"/>
    <s v="decomposedNeighborhoodSearch"/>
    <n v="183.37280830517034"/>
    <s v="20250904 23:46:29"/>
    <n v="0"/>
    <n v="23.092051397622477"/>
    <n v="3600.6759999999999"/>
    <n v="160.28075690754787"/>
  </r>
  <r>
    <x v="589"/>
    <x v="10"/>
    <x v="5"/>
    <x v="1"/>
    <x v="0"/>
    <s v="20250904T234722020"/>
    <n v="0"/>
    <s v="decomposedNeighborhoodSearch"/>
    <n v="196.21432586195203"/>
    <s v="20250904 23:47:22"/>
    <n v="0"/>
    <n v="50.012430448141714"/>
    <n v="3600.1640000000002"/>
    <n v="146.20189541381032"/>
  </r>
  <r>
    <x v="590"/>
    <x v="10"/>
    <x v="5"/>
    <x v="2"/>
    <x v="0"/>
    <s v="20250904T234753495"/>
    <n v="0"/>
    <s v="decomposedNeighborhoodSearch"/>
    <n v="223.84969477670546"/>
    <s v="20250904 23:47:53"/>
    <n v="0"/>
    <n v="55.391096426387257"/>
    <n v="3600.6990000000001"/>
    <n v="168.4585983503182"/>
  </r>
  <r>
    <x v="591"/>
    <x v="10"/>
    <x v="5"/>
    <x v="3"/>
    <x v="0"/>
    <s v="20250905T000422735"/>
    <n v="0"/>
    <s v="decomposedNeighborhoodSearch"/>
    <n v="169.21303561650905"/>
    <s v="20250905 00:04:22"/>
    <n v="0"/>
    <n v="32.730883634007142"/>
    <n v="3600.94"/>
    <n v="136.4821519825019"/>
  </r>
  <r>
    <x v="592"/>
    <x v="10"/>
    <x v="5"/>
    <x v="4"/>
    <x v="0"/>
    <s v="20250905T003458823"/>
    <n v="0"/>
    <s v="decomposedNeighborhoodSearch"/>
    <n v="173.0849769117732"/>
    <s v="20250905 00:34:58"/>
    <n v="0"/>
    <n v="10.772864582994501"/>
    <n v="3600.1930000000002"/>
    <n v="162.31211232877871"/>
  </r>
  <r>
    <x v="593"/>
    <x v="11"/>
    <x v="6"/>
    <x v="0"/>
    <x v="0"/>
    <s v="20250905T003459321"/>
    <n v="0"/>
    <s v="decomposedNeighborhoodSearch"/>
    <n v="258.54453833859736"/>
    <s v="20250905 00:34:59"/>
    <n v="0"/>
    <n v="45.845143309097693"/>
    <n v="3600.09"/>
    <n v="212.6993950294997"/>
  </r>
  <r>
    <x v="594"/>
    <x v="11"/>
    <x v="6"/>
    <x v="1"/>
    <x v="0"/>
    <s v="20250905T003459769"/>
    <n v="0"/>
    <s v="decomposedNeighborhoodSearch"/>
    <n v="265.61777859962569"/>
    <s v="20250905 00:34:59"/>
    <n v="0"/>
    <n v="44.83356881484444"/>
    <n v="3600.15"/>
    <n v="220.78420978478124"/>
  </r>
  <r>
    <x v="595"/>
    <x v="11"/>
    <x v="6"/>
    <x v="2"/>
    <x v="0"/>
    <s v="20250905T003712550"/>
    <n v="0"/>
    <s v="decomposedNeighborhoodSearch"/>
    <n v="252.60528065743807"/>
    <s v="20250905 00:37:12"/>
    <n v="0"/>
    <n v="40.01968182604007"/>
    <n v="3600.2579999999998"/>
    <n v="212.58559883139802"/>
  </r>
  <r>
    <x v="596"/>
    <x v="11"/>
    <x v="6"/>
    <x v="3"/>
    <x v="0"/>
    <s v="20250905T004629779"/>
    <n v="0"/>
    <s v="decomposedNeighborhoodSearch"/>
    <n v="280.69345257135177"/>
    <s v="20250905 00:46:29"/>
    <n v="0"/>
    <n v="45.167325916232393"/>
    <n v="3600.8130000000001"/>
    <n v="235.52612665511936"/>
  </r>
  <r>
    <x v="597"/>
    <x v="11"/>
    <x v="6"/>
    <x v="4"/>
    <x v="0"/>
    <s v="20250905T004722186"/>
    <n v="0"/>
    <s v="decomposedNeighborhoodSearch"/>
    <n v="295.91031548807416"/>
    <s v="20250905 00:47:22"/>
    <n v="0"/>
    <n v="76.451999001346906"/>
    <n v="3600.6889999999999"/>
    <n v="219.45831648672726"/>
  </r>
  <r>
    <x v="598"/>
    <x v="12"/>
    <x v="7"/>
    <x v="0"/>
    <x v="0"/>
    <s v="20250905T004754196"/>
    <n v="0"/>
    <s v="decomposedNeighborhoodSearch"/>
    <n v="396.1062298661318"/>
    <s v="20250905 00:47:54"/>
    <n v="0"/>
    <n v="66.485086612349477"/>
    <n v="3600.5650000000001"/>
    <n v="329.62114325378235"/>
  </r>
  <r>
    <x v="599"/>
    <x v="12"/>
    <x v="7"/>
    <x v="1"/>
    <x v="0"/>
    <s v="20250905T010423678"/>
    <n v="0"/>
    <s v="decomposedNeighborhoodSearch"/>
    <n v="372.2120198442268"/>
    <s v="20250905 01:04:23"/>
    <n v="0"/>
    <n v="77.85001341353049"/>
    <n v="3600.1770000000001"/>
    <n v="294.36200643069628"/>
  </r>
  <r>
    <x v="600"/>
    <x v="12"/>
    <x v="7"/>
    <x v="2"/>
    <x v="0"/>
    <s v="20250905T013459018"/>
    <n v="0"/>
    <s v="decomposedNeighborhoodSearch"/>
    <n v="380.47026685783743"/>
    <s v="20250905 01:34:59"/>
    <n v="0"/>
    <n v="57.585581324953594"/>
    <n v="3600.701"/>
    <n v="322.88468553288385"/>
  </r>
  <r>
    <x v="601"/>
    <x v="12"/>
    <x v="7"/>
    <x v="3"/>
    <x v="0"/>
    <s v="20250905T013459414"/>
    <n v="0"/>
    <s v="decomposedNeighborhoodSearch"/>
    <n v="355.96800589413823"/>
    <s v="20250905 01:34:59"/>
    <n v="0"/>
    <n v="51.869772249223153"/>
    <n v="3600.953"/>
    <n v="304.09823364491507"/>
  </r>
  <r>
    <x v="602"/>
    <x v="12"/>
    <x v="7"/>
    <x v="4"/>
    <x v="0"/>
    <s v="20250905T013459920"/>
    <n v="0"/>
    <s v="decomposedNeighborhoodSearch"/>
    <n v="353.14750299095687"/>
    <s v="20250905 01:34:59"/>
    <n v="0"/>
    <n v="44.634553014240097"/>
    <n v="3601.0920000000001"/>
    <n v="308.51294997671675"/>
  </r>
  <r>
    <x v="603"/>
    <x v="13"/>
    <x v="8"/>
    <x v="0"/>
    <x v="0"/>
    <s v="20251018T123557830"/>
    <n v="0"/>
    <s v="decomposedNeighborhoodSearch"/>
    <n v="236.63191595111198"/>
    <s v="20251018 12:35:57"/>
    <n v="0"/>
    <n v="48.600028347952268"/>
    <n v="3600.7959999999998"/>
    <n v="188.0318876031597"/>
  </r>
  <r>
    <x v="604"/>
    <x v="13"/>
    <x v="8"/>
    <x v="1"/>
    <x v="0"/>
    <s v="20251018T123557830"/>
    <n v="0"/>
    <s v="decomposedNeighborhoodSearch"/>
    <n v="231.00597352899155"/>
    <s v="20251018 12:35:57"/>
    <n v="0"/>
    <n v="37.174208022291637"/>
    <n v="3600.5419999999999"/>
    <n v="193.83176550669992"/>
  </r>
  <r>
    <x v="605"/>
    <x v="13"/>
    <x v="8"/>
    <x v="2"/>
    <x v="0"/>
    <s v="20251018T123557830"/>
    <n v="0"/>
    <s v="decomposedNeighborhoodSearch"/>
    <n v="215.70167840998442"/>
    <s v="20251018 12:35:57"/>
    <n v="0"/>
    <n v="20.048949884692448"/>
    <n v="3600.3539999999998"/>
    <n v="195.65272852529196"/>
  </r>
  <r>
    <x v="606"/>
    <x v="13"/>
    <x v="8"/>
    <x v="3"/>
    <x v="0"/>
    <s v="20251018T123557830"/>
    <n v="0"/>
    <s v="decomposedNeighborhoodSearch"/>
    <n v="238.23601578303894"/>
    <s v="20251018 12:35:57"/>
    <n v="0"/>
    <n v="60.54188139300792"/>
    <n v="3600.627"/>
    <n v="177.69413439003102"/>
  </r>
  <r>
    <x v="607"/>
    <x v="13"/>
    <x v="8"/>
    <x v="4"/>
    <x v="0"/>
    <s v="20251018T123557830"/>
    <n v="0"/>
    <s v="decomposedNeighborhoodSearch"/>
    <n v="233.85783856868341"/>
    <s v="20251018 12:35:57"/>
    <n v="0"/>
    <n v="52.824499445331256"/>
    <n v="3600.5889999999999"/>
    <n v="181.03333912335216"/>
  </r>
  <r>
    <x v="608"/>
    <x v="13"/>
    <x v="8"/>
    <x v="0"/>
    <x v="2"/>
    <s v="20251018T123823522"/>
    <n v="0"/>
    <s v="decomposedRandom"/>
    <n v="234.79065086874689"/>
    <s v="20251018 12:38:23"/>
    <n v="0"/>
    <n v="46.394234877561502"/>
    <n v="3600.558"/>
    <n v="188.39641599118539"/>
  </r>
  <r>
    <x v="609"/>
    <x v="13"/>
    <x v="8"/>
    <x v="1"/>
    <x v="2"/>
    <s v="20251018T123823522"/>
    <n v="0"/>
    <s v="decomposedRandom"/>
    <n v="244.25921840916709"/>
    <s v="20251018 12:38:23"/>
    <n v="0"/>
    <n v="49.744665907114324"/>
    <n v="3601.2750000000001"/>
    <n v="194.51455250205277"/>
  </r>
  <r>
    <x v="610"/>
    <x v="13"/>
    <x v="8"/>
    <x v="3"/>
    <x v="2"/>
    <s v="20251018T123823522"/>
    <n v="0"/>
    <s v="decomposedRandom"/>
    <n v="267.88404015401363"/>
    <s v="20251018 12:38:23"/>
    <n v="0"/>
    <n v="92.680000704197411"/>
    <n v="3601.279"/>
    <n v="175.20403944981621"/>
  </r>
  <r>
    <x v="611"/>
    <x v="13"/>
    <x v="8"/>
    <x v="2"/>
    <x v="2"/>
    <s v="20251018T123823523"/>
    <n v="0"/>
    <s v="decomposedRandom"/>
    <n v="251.42483025348082"/>
    <s v="20251018 12:38:23"/>
    <n v="0"/>
    <n v="54.718803405041896"/>
    <n v="3601.2280000000001"/>
    <n v="196.70602684843891"/>
  </r>
  <r>
    <x v="612"/>
    <x v="14"/>
    <x v="9"/>
    <x v="0"/>
    <x v="0"/>
    <s v="20251018T133558202"/>
    <n v="0"/>
    <s v="decomposedNeighborhoodSearch"/>
    <n v="328.88488801142933"/>
    <s v="20251018 13:35:58"/>
    <n v="0"/>
    <n v="41.478687433288727"/>
    <n v="3600.19"/>
    <n v="287.40620057814061"/>
  </r>
  <r>
    <x v="613"/>
    <x v="14"/>
    <x v="9"/>
    <x v="1"/>
    <x v="0"/>
    <s v="20251018T133558374"/>
    <n v="0"/>
    <s v="decomposedNeighborhoodSearch"/>
    <n v="388.12634309343548"/>
    <s v="20251018 13:35:58"/>
    <n v="0"/>
    <n v="81.668004310539814"/>
    <n v="3600.5619999999999"/>
    <n v="306.45833878289568"/>
  </r>
  <r>
    <x v="614"/>
    <x v="14"/>
    <x v="9"/>
    <x v="2"/>
    <x v="0"/>
    <s v="20251018T133558421"/>
    <n v="0"/>
    <s v="decomposedNeighborhoodSearch"/>
    <n v="370.57175348148411"/>
    <s v="20251018 13:35:58"/>
    <n v="0"/>
    <n v="73.841226720117675"/>
    <n v="3600.777"/>
    <n v="296.73052676136643"/>
  </r>
  <r>
    <x v="615"/>
    <x v="14"/>
    <x v="9"/>
    <x v="3"/>
    <x v="0"/>
    <s v="20251018T133558459"/>
    <n v="0"/>
    <s v="decomposedNeighborhoodSearch"/>
    <n v="325.84439678275163"/>
    <s v="20251018 13:35:58"/>
    <n v="0"/>
    <n v="48.576765160638232"/>
    <n v="3600.2739999999999"/>
    <n v="277.26763162211341"/>
  </r>
  <r>
    <x v="616"/>
    <x v="14"/>
    <x v="9"/>
    <x v="4"/>
    <x v="0"/>
    <s v="20251018T133558629"/>
    <n v="0"/>
    <s v="decomposedNeighborhoodSearch"/>
    <n v="283.65999110412207"/>
    <s v="20251018 13:35:58"/>
    <n v="0"/>
    <n v="52.948389779740431"/>
    <n v="3600.9389999999999"/>
    <n v="230.71160132438163"/>
  </r>
  <r>
    <x v="617"/>
    <x v="13"/>
    <x v="8"/>
    <x v="4"/>
    <x v="2"/>
    <s v="20251018T133824091"/>
    <n v="0"/>
    <s v="decomposedRandom"/>
    <n v="251.61806220526543"/>
    <s v="20251018 13:38:24"/>
    <n v="0"/>
    <n v="71.022195138595038"/>
    <n v="3600.2460000000001"/>
    <n v="180.59586706667039"/>
  </r>
  <r>
    <x v="618"/>
    <x v="14"/>
    <x v="9"/>
    <x v="0"/>
    <x v="2"/>
    <s v="20251018T133824754"/>
    <n v="0"/>
    <s v="decomposedRandom"/>
    <n v="352.58550772426787"/>
    <s v="20251018 13:38:24"/>
    <n v="0"/>
    <n v="66.374162550196914"/>
    <n v="3600.681"/>
    <n v="286.21134517407097"/>
  </r>
  <r>
    <x v="619"/>
    <x v="14"/>
    <x v="9"/>
    <x v="1"/>
    <x v="2"/>
    <s v="20251018T133824800"/>
    <n v="0"/>
    <s v="decomposedRandom"/>
    <n v="434.44476397121673"/>
    <s v="20251018 13:38:24"/>
    <n v="0"/>
    <n v="130.79450084086309"/>
    <n v="3600.3429999999998"/>
    <n v="303.65026313035361"/>
  </r>
  <r>
    <x v="620"/>
    <x v="14"/>
    <x v="9"/>
    <x v="2"/>
    <x v="2"/>
    <s v="20251018T133824803"/>
    <n v="0"/>
    <s v="decomposedRandom"/>
    <n v="439.33158638710199"/>
    <s v="20251018 13:38:24"/>
    <n v="0"/>
    <n v="141.87154500458556"/>
    <n v="3600.3359999999998"/>
    <n v="297.46004138251647"/>
  </r>
  <r>
    <x v="621"/>
    <x v="14"/>
    <x v="9"/>
    <x v="3"/>
    <x v="2"/>
    <s v="20251018T143824339"/>
    <n v="0"/>
    <s v="decomposedRandom"/>
    <n v="379.86534804127837"/>
    <s v="20251018 14:38:24"/>
    <n v="0"/>
    <n v="99.675497943154227"/>
    <n v="3600.19"/>
    <n v="280.18985009812417"/>
  </r>
  <r>
    <x v="622"/>
    <x v="14"/>
    <x v="9"/>
    <x v="4"/>
    <x v="2"/>
    <s v="20251018T143825141"/>
    <n v="0"/>
    <s v="decomposedRandom"/>
    <n v="293.56109496872045"/>
    <s v="20251018 14:38:25"/>
    <n v="0"/>
    <n v="63.527911329528074"/>
    <n v="3600.4690000000001"/>
    <n v="230.0331836391924"/>
  </r>
  <r>
    <x v="623"/>
    <x v="13"/>
    <x v="8"/>
    <x v="0"/>
    <x v="3"/>
    <s v="20251018T155117454"/>
    <n v="0"/>
    <s v="localRefinement"/>
    <n v="318.70549796758218"/>
    <s v="20251018 15:51:17"/>
    <n v="0"/>
    <n v="135.24690084172857"/>
    <n v="3601.4810000000002"/>
    <n v="183.4585971258536"/>
  </r>
  <r>
    <x v="624"/>
    <x v="13"/>
    <x v="8"/>
    <x v="1"/>
    <x v="3"/>
    <s v="20251018T155117454"/>
    <n v="0"/>
    <s v="localRefinement"/>
    <n v="279.65524240683482"/>
    <s v="20251018 15:51:17"/>
    <n v="0"/>
    <n v="88.855481844644871"/>
    <n v="3601.8240000000001"/>
    <n v="190.79976056218993"/>
  </r>
  <r>
    <x v="625"/>
    <x v="13"/>
    <x v="8"/>
    <x v="2"/>
    <x v="3"/>
    <s v="20251018T165118945"/>
    <n v="0"/>
    <s v="localRefinement"/>
    <n v="285.74842402040076"/>
    <s v="20251018 16:51:18"/>
    <n v="0"/>
    <n v="93.045962733727862"/>
    <n v="3601.5520000000001"/>
    <n v="192.7024612866729"/>
  </r>
  <r>
    <x v="626"/>
    <x v="13"/>
    <x v="8"/>
    <x v="3"/>
    <x v="3"/>
    <s v="20251018T165119280"/>
    <n v="0"/>
    <s v="localRefinement"/>
    <n v="318.2916898814089"/>
    <s v="20251018 16:51:19"/>
    <n v="0"/>
    <n v="144.89866432029655"/>
    <n v="3601.4659999999999"/>
    <n v="173.39302556111235"/>
  </r>
  <r>
    <x v="627"/>
    <x v="13"/>
    <x v="8"/>
    <x v="4"/>
    <x v="3"/>
    <s v="20251018T175120499"/>
    <n v="0"/>
    <s v="localRefinement"/>
    <n v="312.57751287446854"/>
    <s v="20251018 17:51:20"/>
    <n v="0"/>
    <n v="135.23691285104454"/>
    <n v="3601.3969999999999"/>
    <n v="177.34060002342397"/>
  </r>
  <r>
    <x v="628"/>
    <x v="14"/>
    <x v="9"/>
    <x v="0"/>
    <x v="3"/>
    <s v="20251018T175120749"/>
    <n v="0"/>
    <s v="localRefinement"/>
    <n v="378.92400822640354"/>
    <s v="20251018 17:51:20"/>
    <n v="0"/>
    <n v="97.021667904501385"/>
    <n v="3602.7249999999999"/>
    <n v="281.90234032190216"/>
  </r>
  <r>
    <x v="629"/>
    <x v="14"/>
    <x v="9"/>
    <x v="1"/>
    <x v="3"/>
    <s v="20251018T185121900"/>
    <n v="0"/>
    <s v="localRefinement"/>
    <n v="475.87326664797172"/>
    <s v="20251018 18:51:21"/>
    <n v="0"/>
    <n v="175.98954377552934"/>
    <n v="3602.8049999999998"/>
    <n v="299.88372287244238"/>
  </r>
  <r>
    <x v="630"/>
    <x v="14"/>
    <x v="9"/>
    <x v="2"/>
    <x v="3"/>
    <s v="20251018T185123476"/>
    <n v="0"/>
    <s v="localRefinement"/>
    <n v="447.36652871115837"/>
    <s v="20251018 18:51:23"/>
    <n v="0"/>
    <n v="157.49887757420848"/>
    <n v="3602.6770000000001"/>
    <n v="289.86765113694986"/>
  </r>
  <r>
    <x v="631"/>
    <x v="14"/>
    <x v="9"/>
    <x v="3"/>
    <x v="3"/>
    <s v="20251018T195124707"/>
    <n v="0"/>
    <s v="localRefinement"/>
    <n v="408.26767612516005"/>
    <s v="20251018 19:51:24"/>
    <n v="0"/>
    <n v="135.23015101557738"/>
    <n v="3602.3919999999998"/>
    <n v="273.0375251095827"/>
  </r>
  <r>
    <x v="632"/>
    <x v="14"/>
    <x v="9"/>
    <x v="4"/>
    <x v="3"/>
    <s v="20251018T195126155"/>
    <n v="0"/>
    <s v="localRefinement"/>
    <n v="397.39577738440704"/>
    <s v="20251018 19:51:26"/>
    <n v="0"/>
    <n v="169.88407510492124"/>
    <n v="3602.6869999999999"/>
    <n v="227.51170227948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3-20-1"/>
    <x v="0"/>
    <n v="20"/>
    <n v="1"/>
    <n v="19.113199999999999"/>
    <n v="19.113158371209611"/>
    <n v="32.910009879999997"/>
    <n v="19.120358371209612"/>
    <n v="19.113158371209611"/>
    <n v="19.1131583712096"/>
    <n v="19.113158371209611"/>
  </r>
  <r>
    <x v="0"/>
    <s v="3-20-2"/>
    <x v="0"/>
    <n v="20"/>
    <n v="2"/>
    <n v="22.1524"/>
    <n v="22.152430125032964"/>
    <n v="42.891180929999997"/>
    <n v="22.152430125032968"/>
    <n v="22.152430125032964"/>
    <n v="22.152430125032968"/>
    <n v="22.152430125032968"/>
  </r>
  <r>
    <x v="0"/>
    <s v="3-20-3"/>
    <x v="0"/>
    <n v="20"/>
    <n v="3"/>
    <n v="2.3319999999999999"/>
    <n v="2.3320333963418576"/>
    <n v="2.3320333999999998"/>
    <n v="2.3320333963418576"/>
    <n v="2.3320333963418576"/>
    <n v="2.3320333963418576"/>
    <n v="2.3320333963418576"/>
  </r>
  <r>
    <x v="0"/>
    <s v="3-20-4"/>
    <x v="0"/>
    <n v="20"/>
    <n v="4"/>
    <n v="3.9407000000000001"/>
    <n v="3.968250290840007"/>
    <n v="4.0228502900000001"/>
    <n v="3.9682502908400066"/>
    <n v="3.968250290840007"/>
    <n v="3.9682502908400066"/>
    <n v="3.968250290840007"/>
  </r>
  <r>
    <x v="0"/>
    <s v="3-20-5"/>
    <x v="0"/>
    <n v="20"/>
    <n v="5"/>
    <n v="3.7930000000000001"/>
    <n v="3.7929994136695395"/>
    <n v="3.8937994100000002"/>
    <n v="3.7953994136695393"/>
    <n v="3.7929994136695395"/>
    <n v="3.7929994136695404"/>
    <n v="3.79299941366954"/>
  </r>
  <r>
    <x v="0"/>
    <s v="6-40-1"/>
    <x v="1"/>
    <n v="40"/>
    <n v="1"/>
    <n v="39.719499999999996"/>
    <n v="39.75575014615066"/>
    <n v="55.931089980000003"/>
    <n v="40.118458749796645"/>
    <n v="39.75575014615066"/>
    <n v="39.761758749796655"/>
    <n v="39.833758749796658"/>
  </r>
  <r>
    <x v="0"/>
    <s v="6-40-2"/>
    <x v="1"/>
    <n v="40"/>
    <n v="2"/>
    <n v="41.549799999999998"/>
    <n v="41.555424227173049"/>
    <n v="57.656505899999999"/>
    <n v="41.898026514197895"/>
    <n v="41.555424227173049"/>
    <n v="41.555424227173049"/>
    <n v="41.767224227173052"/>
  </r>
  <r>
    <x v="0"/>
    <s v="6-40-3"/>
    <x v="1"/>
    <n v="40"/>
    <n v="3"/>
    <n v="19.729399999999998"/>
    <n v="19.740402093227388"/>
    <n v="20.29128236"/>
    <n v="19.868326224054695"/>
    <n v="19.740402093227388"/>
    <n v="19.740402093227388"/>
    <n v="19.858726224054692"/>
  </r>
  <r>
    <x v="0"/>
    <s v="6-40-4"/>
    <x v="1"/>
    <n v="40"/>
    <n v="4"/>
    <n v="22.646599999999999"/>
    <n v="22.758820843048195"/>
    <n v="28.936699690000001"/>
    <n v="23.117820147610626"/>
    <n v="22.758820843048195"/>
    <n v="22.758820843048206"/>
    <n v="23.115855568532133"/>
  </r>
  <r>
    <x v="0"/>
    <s v="6-40-5"/>
    <x v="1"/>
    <n v="40"/>
    <n v="5"/>
    <n v="33.917400000000001"/>
    <n v="34.061136441961978"/>
    <n v="47.283948359999997"/>
    <n v="34.23259926627064"/>
    <n v="34.061136441961978"/>
    <n v="34.061136441961978"/>
    <n v="34.167917464225027"/>
  </r>
  <r>
    <x v="0"/>
    <s v="9-60-1"/>
    <x v="2"/>
    <n v="60"/>
    <n v="1"/>
    <n v="62"/>
    <n v="1014.7879161034551"/>
    <n v="122.67071694000001"/>
    <n v="87.71120226777964"/>
    <n v="122.67071694000001"/>
    <n v="119.85564640508085"/>
    <n v="87.977597793632953"/>
  </r>
  <r>
    <x v="0"/>
    <s v="9-60-2"/>
    <x v="2"/>
    <n v="60"/>
    <n v="2"/>
    <n v="58.265500000000003"/>
    <n v="95.557259588525312"/>
    <n v="114.29318171"/>
    <n v="75.236867826458607"/>
    <n v="95.557259588525312"/>
    <n v="79.130001975071039"/>
    <n v="75.04042152786279"/>
  </r>
  <r>
    <x v="0"/>
    <s v="9-60-3"/>
    <x v="2"/>
    <n v="60"/>
    <n v="3"/>
    <n v="54.973500000000001"/>
    <n v="600.59706196367097"/>
    <n v="116.93704515"/>
    <n v="78.281067711821493"/>
    <n v="116.93704515"/>
    <n v="114.59645245371252"/>
    <n v="85.580124037721163"/>
  </r>
  <r>
    <x v="0"/>
    <s v="9-60-4"/>
    <x v="2"/>
    <n v="60"/>
    <n v="4"/>
    <n v="54.8902"/>
    <n v="79.090030546070395"/>
    <n v="126.72051441000001"/>
    <n v="79.823886337707364"/>
    <n v="79.090030546070395"/>
    <n v="110.35665208980406"/>
    <n v="82.049848009066338"/>
  </r>
  <r>
    <x v="0"/>
    <s v="9-60-5"/>
    <x v="2"/>
    <n v="60"/>
    <n v="5"/>
    <n v="62.474899999999998"/>
    <n v="62.581996299609401"/>
    <n v="92.74421117"/>
    <n v="63.492378102066596"/>
    <n v="62.581996299609401"/>
    <n v="67.93833028370095"/>
    <n v="74.560326357414041"/>
  </r>
  <r>
    <x v="0"/>
    <s v="12-80-1"/>
    <x v="3"/>
    <n v="80"/>
    <n v="1"/>
    <n v="73.251499999999993"/>
    <n v="1779.0503180665351"/>
    <n v="143.50523222999999"/>
    <n v="96.057852332269405"/>
    <n v="143.50523222999999"/>
    <n v="139.8957524937764"/>
    <n v="95.2872019031946"/>
  </r>
  <r>
    <x v="0"/>
    <s v="12-80-2"/>
    <x v="3"/>
    <n v="80"/>
    <n v="2"/>
    <n v="75.9602"/>
    <n v="1485.9867313469467"/>
    <n v="136.68911327999999"/>
    <n v="103.75426744136814"/>
    <n v="136.68911327999999"/>
    <n v="130.67448008437844"/>
    <n v="107.79787016615427"/>
  </r>
  <r>
    <x v="0"/>
    <s v="12-80-3"/>
    <x v="3"/>
    <n v="80"/>
    <n v="3"/>
    <n v="69.497699999999995"/>
    <n v="1361.0478745513392"/>
    <n v="143.75224972999999"/>
    <n v="96.89826578643283"/>
    <n v="143.75224972999999"/>
    <n v="139.7686740833378"/>
    <n v="100.47303179399104"/>
  </r>
  <r>
    <x v="0"/>
    <s v="12-80-4"/>
    <x v="3"/>
    <n v="80"/>
    <n v="4"/>
    <n v="75.502700000000004"/>
    <n v="1390.0675692228908"/>
    <n v="159.07776181"/>
    <n v="99.010361511311643"/>
    <n v="159.07776181"/>
    <n v="153.50249196774706"/>
    <n v="108.49097012380952"/>
  </r>
  <r>
    <x v="0"/>
    <s v="12-80-5"/>
    <x v="3"/>
    <n v="80"/>
    <n v="5"/>
    <n v="79.171099999999996"/>
    <n v="1279.3915889633035"/>
    <n v="155.03973479999999"/>
    <n v="107.9504301020327"/>
    <n v="155.03973479999999"/>
    <n v="150.38724903240183"/>
    <n v="120.55877081221855"/>
  </r>
  <r>
    <x v="0"/>
    <s v="15-100-1"/>
    <x v="4"/>
    <n v="100"/>
    <n v="1"/>
    <n v="94.151300000000006"/>
    <n v="1557.924887939429"/>
    <n v="168.03982887999999"/>
    <n v="112.44468498811091"/>
    <n v="168.03982887999999"/>
    <n v="161.43302259709776"/>
    <n v="115.84930425941576"/>
  </r>
  <r>
    <x v="0"/>
    <s v="15-100-2"/>
    <x v="4"/>
    <n v="100"/>
    <n v="2"/>
    <n v="98.319000000000003"/>
    <n v="2042.2429125479177"/>
    <n v="197.35531183000001"/>
    <n v="136.135364351471"/>
    <n v="197.35531183000001"/>
    <n v="192.30465255029085"/>
    <n v="140.0327761318037"/>
  </r>
  <r>
    <x v="0"/>
    <s v="15-100-3"/>
    <x v="4"/>
    <n v="100"/>
    <n v="3"/>
    <n v="95.824399999999997"/>
    <n v="2014.4736320687407"/>
    <n v="156.32958883000001"/>
    <n v="112.49228066462901"/>
    <n v="156.32958883000001"/>
    <n v="148.07209015376804"/>
    <n v="116.44529368534347"/>
  </r>
  <r>
    <x v="0"/>
    <s v="15-100-4"/>
    <x v="4"/>
    <n v="100"/>
    <n v="4"/>
    <n v="93.579400000000007"/>
    <n v="1918.4566434140004"/>
    <n v="180.29233119"/>
    <n v="128.2387680792381"/>
    <n v="180.29233119"/>
    <n v="172.5957766878399"/>
    <n v="133.51281268459496"/>
  </r>
  <r>
    <x v="0"/>
    <s v="15-100-5"/>
    <x v="4"/>
    <n v="100"/>
    <n v="5"/>
    <n v="112.7895"/>
    <n v="2296.9963547158604"/>
    <n v="231.07773642000001"/>
    <n v="164.89065281409654"/>
    <n v="231.07773642000001"/>
    <n v="221.23502350238041"/>
    <n v="163.40759993350167"/>
  </r>
  <r>
    <x v="0"/>
    <s v="18-120-1"/>
    <x v="5"/>
    <n v="120"/>
    <n v="1"/>
    <n v="147.82400000000001"/>
    <m/>
    <n v="262.99802846"/>
    <n v="183.37280830517034"/>
    <n v="262.99802846"/>
    <n v="254.51050153963263"/>
    <n v="208.41107395894616"/>
  </r>
  <r>
    <x v="0"/>
    <s v="18-120-2"/>
    <x v="5"/>
    <n v="120"/>
    <n v="2"/>
    <n v="136.91929999999999"/>
    <m/>
    <n v="294.01645559000002"/>
    <n v="196.21432586195203"/>
    <n v="294.01645559000002"/>
    <n v="285.9167621223346"/>
    <n v="224.40392164510226"/>
  </r>
  <r>
    <x v="0"/>
    <s v="18-120-3"/>
    <x v="5"/>
    <n v="120"/>
    <n v="3"/>
    <n v="158.2567"/>
    <m/>
    <n v="326.96103498000002"/>
    <n v="223.84969477670546"/>
    <n v="326.96103498000002"/>
    <n v="319.5934581953336"/>
    <n v="240.12338346778881"/>
  </r>
  <r>
    <x v="0"/>
    <s v="18-120-4"/>
    <x v="5"/>
    <n v="120"/>
    <n v="4"/>
    <n v="126.3252"/>
    <m/>
    <n v="220.33714198000001"/>
    <n v="169.21303561650905"/>
    <n v="220.33714198000001"/>
    <n v="212.9445392611463"/>
    <n v="173.48320515526152"/>
  </r>
  <r>
    <x v="0"/>
    <s v="18-120-5"/>
    <x v="5"/>
    <n v="120"/>
    <n v="5"/>
    <n v="152.2621"/>
    <m/>
    <n v="225.72616502"/>
    <n v="173.0849769117732"/>
    <n v="225.72616502"/>
    <n v="219.92113333375823"/>
    <n v="192.09103257221071"/>
  </r>
  <r>
    <x v="0"/>
    <s v="21-140-1"/>
    <x v="6"/>
    <n v="140"/>
    <n v="1"/>
    <n v="176.0343"/>
    <m/>
    <n v="328.47559343"/>
    <n v="236.63191595111198"/>
    <n v="328.47559343"/>
    <n v="318.70549796758218"/>
    <n v="234.79065086874689"/>
  </r>
  <r>
    <x v="0"/>
    <s v="21-140-2"/>
    <x v="6"/>
    <n v="140"/>
    <n v="2"/>
    <n v="183.5258"/>
    <m/>
    <n v="289.34769091999999"/>
    <n v="231.00597352899155"/>
    <n v="289.34769091999999"/>
    <n v="279.65524240683482"/>
    <n v="244.25921840916709"/>
  </r>
  <r>
    <x v="0"/>
    <s v="21-140-3"/>
    <x v="6"/>
    <n v="140"/>
    <n v="3"/>
    <n v="181.18029999999999"/>
    <m/>
    <n v="300.82812514"/>
    <n v="215.70167840998442"/>
    <n v="300.82812514"/>
    <n v="285.74842402040076"/>
    <n v="251.42483025348082"/>
  </r>
  <r>
    <x v="0"/>
    <s v="21-140-4"/>
    <x v="6"/>
    <n v="140"/>
    <n v="4"/>
    <n v="165.22489999999999"/>
    <m/>
    <n v="324.9742928"/>
    <n v="238.23601578303894"/>
    <n v="324.9742928"/>
    <n v="318.2916898814089"/>
    <n v="267.88404015401363"/>
  </r>
  <r>
    <x v="0"/>
    <s v="21-140-5"/>
    <x v="6"/>
    <n v="140"/>
    <n v="5"/>
    <n v="170.88409999999999"/>
    <m/>
    <n v="319.5957075"/>
    <n v="233.85783856868341"/>
    <n v="319.5957075"/>
    <n v="312.57751287446854"/>
    <n v="251.61806220526543"/>
  </r>
  <r>
    <x v="0"/>
    <s v="24-160-1"/>
    <x v="7"/>
    <n v="160"/>
    <n v="1"/>
    <n v="197.2148"/>
    <m/>
    <n v="335.33493076000002"/>
    <n v="258.54453833859736"/>
    <n v="335.33493076000002"/>
    <n v="324.79169230152337"/>
    <n v="288.24939645475501"/>
  </r>
  <r>
    <x v="0"/>
    <s v="24-160-2"/>
    <x v="7"/>
    <n v="160"/>
    <n v="2"/>
    <n v="210.30590000000001"/>
    <m/>
    <n v="346.54478344"/>
    <n v="265.61777859962569"/>
    <n v="346.54478344"/>
    <n v="338.10142246124013"/>
    <n v="292.07670099049051"/>
  </r>
  <r>
    <x v="0"/>
    <s v="24-160-3"/>
    <x v="7"/>
    <n v="160"/>
    <n v="3"/>
    <n v="200.89769999999999"/>
    <m/>
    <n v="347.01160298999997"/>
    <n v="252.60528065743807"/>
    <n v="347.01160298999997"/>
    <n v="337.54761531325056"/>
    <n v="322.45315191368309"/>
  </r>
  <r>
    <x v="0"/>
    <s v="24-160-4"/>
    <x v="7"/>
    <n v="160"/>
    <n v="4"/>
    <n v="215.86070000000001"/>
    <m/>
    <n v="348.67897973999999"/>
    <n v="280.69345257135177"/>
    <n v="348.67897973999999"/>
    <n v="336.4004596942421"/>
    <n v="293.32710989082091"/>
  </r>
  <r>
    <x v="0"/>
    <s v="24-160-5"/>
    <x v="7"/>
    <n v="160"/>
    <n v="5"/>
    <m/>
    <m/>
    <n v="396.54088689999998"/>
    <n v="295.91031548807416"/>
    <n v="396.54088689999998"/>
    <n v="386.31896932749197"/>
    <n v="337.10442587511358"/>
  </r>
  <r>
    <x v="0"/>
    <s v="27-180-1"/>
    <x v="8"/>
    <n v="180"/>
    <n v="1"/>
    <n v="267.83370000000002"/>
    <m/>
    <n v="387.93392333999998"/>
    <n v="328.88488801142933"/>
    <n v="387.93392333999998"/>
    <n v="378.92400822640354"/>
    <n v="352.58550772426787"/>
  </r>
  <r>
    <x v="0"/>
    <s v="27-180-2"/>
    <x v="8"/>
    <n v="180"/>
    <n v="2"/>
    <n v="287.98559999999998"/>
    <m/>
    <n v="484.42109742999997"/>
    <n v="388.12634309343548"/>
    <n v="484.42109742999997"/>
    <n v="475.87326664797172"/>
    <n v="434.44476397121673"/>
  </r>
  <r>
    <x v="0"/>
    <s v="27-180-3"/>
    <x v="8"/>
    <n v="180"/>
    <n v="3"/>
    <n v="275.36169999999998"/>
    <m/>
    <n v="457.25276130999998"/>
    <n v="370.57175348148411"/>
    <n v="457.25276130999998"/>
    <n v="447.36652871115837"/>
    <n v="439.33158638710199"/>
  </r>
  <r>
    <x v="0"/>
    <s v="27-180-4"/>
    <x v="8"/>
    <n v="180"/>
    <n v="4"/>
    <n v="259.3408"/>
    <m/>
    <n v="419.09047784000001"/>
    <n v="325.84439678275163"/>
    <n v="419.09047784000001"/>
    <n v="408.26767612516005"/>
    <n v="379.86534804127837"/>
  </r>
  <r>
    <x v="0"/>
    <s v="27-180-5"/>
    <x v="8"/>
    <n v="180"/>
    <n v="5"/>
    <n v="216.4254"/>
    <m/>
    <n v="404.35979653999999"/>
    <n v="283.65999110412207"/>
    <n v="404.35979653999999"/>
    <n v="397.39577738440704"/>
    <n v="293.56109496872045"/>
  </r>
  <r>
    <x v="0"/>
    <s v="30-200-1"/>
    <x v="9"/>
    <n v="200"/>
    <n v="1"/>
    <n v="308.32679999999999"/>
    <m/>
    <n v="512.01876425"/>
    <n v="396.1062298661318"/>
    <n v="512.01876425"/>
    <n v="512.01876424889235"/>
    <n v="470.00850554313564"/>
  </r>
  <r>
    <x v="0"/>
    <s v="30-200-2"/>
    <x v="9"/>
    <n v="200"/>
    <n v="2"/>
    <n v="276.31970000000001"/>
    <m/>
    <n v="505.60775784999998"/>
    <n v="372.2120198442268"/>
    <n v="505.60775784999998"/>
    <n v="493.06308198393799"/>
    <n v="467.25810398684257"/>
  </r>
  <r>
    <x v="0"/>
    <s v="30-200-3"/>
    <x v="9"/>
    <n v="200"/>
    <n v="3"/>
    <n v="302.69369999999998"/>
    <m/>
    <n v="485.95009041999998"/>
    <n v="380.47026685783743"/>
    <n v="485.95009041999998"/>
    <n v="462.66549612787236"/>
    <n v="396.84192610446109"/>
  </r>
  <r>
    <x v="0"/>
    <s v="30-200-4"/>
    <x v="9"/>
    <n v="200"/>
    <n v="4"/>
    <n v="288.69060000000002"/>
    <m/>
    <n v="459.95525519"/>
    <n v="355.96800589413823"/>
    <n v="459.95525519"/>
    <n v="452.15871014547923"/>
    <n v="429.10312486738792"/>
  </r>
  <r>
    <x v="0"/>
    <s v="30-200-5"/>
    <x v="9"/>
    <n v="200"/>
    <n v="5"/>
    <n v="289.44619999999998"/>
    <m/>
    <n v="496.29280845"/>
    <n v="353.14750299095687"/>
    <n v="496.29280845"/>
    <n v="487.9726660085289"/>
    <n v="393.01949209820719"/>
  </r>
  <r>
    <x v="1"/>
    <s v="6-40-1"/>
    <x v="1"/>
    <n v="40"/>
    <n v="1"/>
    <n v="131.54249999999999"/>
    <n v="3871.6275880056887"/>
    <n v="323.61072381999998"/>
    <n v="225.10988662137976"/>
    <n v="323.61072381999998"/>
    <n v="319.53606947777735"/>
    <n v="236.92127413431751"/>
  </r>
  <r>
    <x v="1"/>
    <s v="6-40-2"/>
    <x v="1"/>
    <n v="40"/>
    <n v="2"/>
    <n v="151.0796"/>
    <n v="300.12227220326088"/>
    <n v="338.56669997"/>
    <n v="238.98936419206723"/>
    <n v="300.12227220326088"/>
    <n v="331.50048436174211"/>
    <n v="241.10929739884776"/>
  </r>
  <r>
    <x v="1"/>
    <s v="6-40-3"/>
    <x v="1"/>
    <n v="40"/>
    <n v="3"/>
    <n v="103.3734"/>
    <n v="119.32010848375801"/>
    <n v="165.01941228999999"/>
    <n v="123.24506749593867"/>
    <n v="119.32010848375801"/>
    <n v="162.12217431841853"/>
    <n v="123.11756293151566"/>
  </r>
  <r>
    <x v="1"/>
    <s v="6-40-4"/>
    <x v="1"/>
    <n v="40"/>
    <n v="4"/>
    <n v="114.03449999999999"/>
    <n v="123.83911959795853"/>
    <n v="147.71197531999999"/>
    <n v="127.98914761587699"/>
    <n v="123.83911959795853"/>
    <n v="143.49692738316031"/>
    <n v="128.742257434697"/>
  </r>
  <r>
    <x v="1"/>
    <s v="6-40-5"/>
    <x v="1"/>
    <n v="40"/>
    <n v="5"/>
    <n v="145.7363"/>
    <n v="3862.8415668764387"/>
    <n v="307.55923868999997"/>
    <n v="216.13564150369564"/>
    <n v="307.55923868999997"/>
    <n v="301.28076674069325"/>
    <n v="216.38221847062465"/>
  </r>
  <r>
    <x v="1"/>
    <s v="12-80-1"/>
    <x v="3"/>
    <n v="80"/>
    <n v="1"/>
    <n v="376.39120000000003"/>
    <m/>
    <n v="669.02320264000002"/>
    <n v="525.2524278292135"/>
    <n v="669.02320264000002"/>
    <n v="669.02320263829938"/>
    <n v="617.15626248967908"/>
  </r>
  <r>
    <x v="1"/>
    <s v="12-80-2"/>
    <x v="3"/>
    <n v="80"/>
    <n v="2"/>
    <n v="379.10109999999997"/>
    <m/>
    <n v="875.64707764000002"/>
    <n v="630.57472931700363"/>
    <n v="875.64707764000002"/>
    <n v="875.64707763803267"/>
    <n v="714.88367914656374"/>
  </r>
  <r>
    <x v="1"/>
    <s v="12-80-3"/>
    <x v="3"/>
    <n v="80"/>
    <n v="3"/>
    <n v="358.22"/>
    <m/>
    <n v="615.18325637999999"/>
    <n v="469.27501128934068"/>
    <n v="615.18325637999999"/>
    <n v="615.18325638420697"/>
    <n v="528.17197590094327"/>
  </r>
  <r>
    <x v="1"/>
    <s v="12-80-4"/>
    <x v="3"/>
    <n v="80"/>
    <n v="4"/>
    <n v="390.29390000000001"/>
    <m/>
    <n v="872.76363796999999"/>
    <n v="677.61251058916673"/>
    <n v="872.76363796999999"/>
    <n v="872.76363796921987"/>
    <n v="751.40585432762532"/>
  </r>
  <r>
    <x v="1"/>
    <s v="12-80-5"/>
    <x v="3"/>
    <n v="80"/>
    <n v="5"/>
    <n v="361.71280000000002"/>
    <m/>
    <n v="673.31434578000005"/>
    <n v="533.85078008975802"/>
    <n v="673.31434578000005"/>
    <n v="673.31434578204039"/>
    <n v="601.77079650144526"/>
  </r>
  <r>
    <x v="1"/>
    <s v="18-120-1"/>
    <x v="5"/>
    <n v="120"/>
    <n v="1"/>
    <m/>
    <m/>
    <n v="1208.5581307499999"/>
    <n v="1208.5581307509215"/>
    <n v="1208.5581307499999"/>
    <n v="1208.5581307509215"/>
    <n v="1208.5581307509215"/>
  </r>
  <r>
    <x v="1"/>
    <s v="18-120-2"/>
    <x v="5"/>
    <n v="120"/>
    <n v="2"/>
    <m/>
    <m/>
    <n v="1375.20956692"/>
    <n v="1186.7271707572488"/>
    <n v="1375.20956692"/>
    <n v="1375.2095669217042"/>
    <n v="1343.8725247922441"/>
  </r>
  <r>
    <x v="1"/>
    <s v="18-120-3"/>
    <x v="5"/>
    <n v="120"/>
    <n v="3"/>
    <m/>
    <m/>
    <n v="1203.52692695"/>
    <n v="1031.6821416486048"/>
    <n v="1203.52692695"/>
    <n v="1203.5269269478968"/>
    <n v="1179.3138144186501"/>
  </r>
  <r>
    <x v="1"/>
    <s v="18-120-4"/>
    <x v="5"/>
    <n v="120"/>
    <n v="4"/>
    <m/>
    <m/>
    <n v="1255.0435796500001"/>
    <n v="1103.9327734666153"/>
    <n v="1255.0435796500001"/>
    <n v="1255.0435796468382"/>
    <n v="1204.6246490867941"/>
  </r>
  <r>
    <x v="1"/>
    <s v="18-120-5"/>
    <x v="5"/>
    <n v="120"/>
    <n v="5"/>
    <m/>
    <m/>
    <n v="1298.8821658300001"/>
    <n v="1192.9265569658357"/>
    <n v="1298.8821658300001"/>
    <n v="1298.8821658264528"/>
    <n v="1279.1086280841514"/>
  </r>
  <r>
    <x v="1"/>
    <s v="24-160-1"/>
    <x v="7"/>
    <n v="160"/>
    <n v="1"/>
    <m/>
    <m/>
    <n v="1877.11863879"/>
    <n v="1811.8662396472282"/>
    <n v="1877.11863879"/>
    <n v="1877.1186387918679"/>
    <n v="1876.6927050365066"/>
  </r>
  <r>
    <x v="1"/>
    <s v="24-160-2"/>
    <x v="7"/>
    <n v="160"/>
    <n v="2"/>
    <m/>
    <m/>
    <n v="1767.60533108"/>
    <n v="1699.0113713965643"/>
    <n v="1767.60533108"/>
    <n v="1767.6053310804286"/>
    <n v="1758.836151631021"/>
  </r>
  <r>
    <x v="1"/>
    <s v="24-160-3"/>
    <x v="7"/>
    <n v="160"/>
    <n v="3"/>
    <m/>
    <m/>
    <n v="1769.4187633500001"/>
    <n v="1697.601469307665"/>
    <n v="1769.4187633500001"/>
    <n v="1769.4187633508227"/>
    <n v="1760.3597205377405"/>
  </r>
  <r>
    <x v="1"/>
    <s v="24-160-4"/>
    <x v="7"/>
    <n v="160"/>
    <n v="4"/>
    <m/>
    <m/>
    <n v="1810.7983752"/>
    <n v="1617.1771751392848"/>
    <n v="1810.7983752"/>
    <n v="1810.7983751956524"/>
    <n v="1784.420821272503"/>
  </r>
  <r>
    <x v="1"/>
    <s v="24-160-5"/>
    <x v="7"/>
    <n v="160"/>
    <n v="5"/>
    <m/>
    <m/>
    <n v="1916.54900888"/>
    <n v="1837.4136781124437"/>
    <n v="1916.54900888"/>
    <n v="1916.5490088828678"/>
    <n v="1910.9345525690005"/>
  </r>
  <r>
    <x v="1"/>
    <s v="30-200-1"/>
    <x v="9"/>
    <n v="200"/>
    <n v="1"/>
    <m/>
    <m/>
    <n v="2628.27781671"/>
    <n v="2530.4166491521605"/>
    <n v="2628.27781671"/>
    <n v="2628.2778167134284"/>
    <n v="2624.2877471526199"/>
  </r>
  <r>
    <x v="1"/>
    <s v="30-200-2"/>
    <x v="9"/>
    <n v="200"/>
    <n v="2"/>
    <m/>
    <m/>
    <n v="2489.2333634299998"/>
    <n v="2444.015455984334"/>
    <n v="2489.2333634299998"/>
    <n v="2489.2333634341867"/>
    <n v="2472.899430628936"/>
  </r>
  <r>
    <x v="1"/>
    <s v="30-200-3"/>
    <x v="9"/>
    <n v="200"/>
    <n v="3"/>
    <m/>
    <m/>
    <n v="2431.4721356700002"/>
    <n v="2322.5820588080342"/>
    <n v="2431.4721356700002"/>
    <n v="2431.472135671559"/>
    <n v="2421.0646034384959"/>
  </r>
  <r>
    <x v="1"/>
    <s v="30-200-4"/>
    <x v="9"/>
    <n v="200"/>
    <n v="4"/>
    <m/>
    <m/>
    <n v="2621.9457205600002"/>
    <n v="2497.0165783656589"/>
    <n v="2621.9457205600002"/>
    <n v="2621.9457205559188"/>
    <n v="2594.4888374727238"/>
  </r>
  <r>
    <x v="1"/>
    <s v="30-200-5"/>
    <x v="9"/>
    <n v="200"/>
    <n v="5"/>
    <m/>
    <m/>
    <n v="2537.2195221400002"/>
    <n v="2337.4109040825592"/>
    <n v="2537.2195221400002"/>
    <n v="2537.2195221448696"/>
    <n v="2528.62918666277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53027-E20C-4598-961A-ECCAFAF03892}" name="数据透视表2" cacheId="0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7" indent="0" compact="0" compactData="0" multipleFieldFilters="0">
  <location ref="A3:F241" firstHeaderRow="1" firstDataRow="1" firstDataCol="5"/>
  <pivotFields count="14">
    <pivotField axis="axisRow" compact="0" outline="0" showAll="0" sortType="ascending" defaultSubtotal="0">
      <items count="633">
        <item x="25"/>
        <item x="314"/>
        <item x="494"/>
        <item x="0"/>
        <item x="138"/>
        <item x="185"/>
        <item x="342"/>
        <item x="79"/>
        <item x="235"/>
        <item x="350"/>
        <item x="285"/>
        <item x="346"/>
        <item x="475"/>
        <item x="26"/>
        <item x="315"/>
        <item x="495"/>
        <item x="1"/>
        <item x="139"/>
        <item x="186"/>
        <item x="343"/>
        <item x="80"/>
        <item x="236"/>
        <item x="351"/>
        <item x="286"/>
        <item x="347"/>
        <item x="476"/>
        <item x="27"/>
        <item x="316"/>
        <item x="496"/>
        <item x="2"/>
        <item x="140"/>
        <item x="192"/>
        <item x="344"/>
        <item x="81"/>
        <item x="237"/>
        <item x="352"/>
        <item x="287"/>
        <item x="348"/>
        <item x="477"/>
        <item x="28"/>
        <item x="317"/>
        <item x="497"/>
        <item x="3"/>
        <item x="141"/>
        <item x="187"/>
        <item x="345"/>
        <item x="82"/>
        <item x="238"/>
        <item x="353"/>
        <item x="288"/>
        <item x="349"/>
        <item x="478"/>
        <item x="29"/>
        <item x="318"/>
        <item x="498"/>
        <item x="4"/>
        <item x="142"/>
        <item x="193"/>
        <item x="354"/>
        <item x="83"/>
        <item x="239"/>
        <item x="355"/>
        <item x="289"/>
        <item x="363"/>
        <item x="482"/>
        <item x="30"/>
        <item x="319"/>
        <item x="499"/>
        <item x="5"/>
        <item x="143"/>
        <item x="188"/>
        <item x="356"/>
        <item x="84"/>
        <item x="240"/>
        <item x="359"/>
        <item x="364"/>
        <item x="483"/>
        <item x="43"/>
        <item x="320"/>
        <item x="500"/>
        <item x="6"/>
        <item x="144"/>
        <item x="189"/>
        <item x="357"/>
        <item x="85"/>
        <item x="241"/>
        <item x="361"/>
        <item x="290"/>
        <item x="365"/>
        <item x="484"/>
        <item x="31"/>
        <item x="321"/>
        <item x="501"/>
        <item x="7"/>
        <item x="145"/>
        <item x="190"/>
        <item x="358"/>
        <item x="86"/>
        <item x="242"/>
        <item x="362"/>
        <item x="291"/>
        <item x="366"/>
        <item x="485"/>
        <item x="32"/>
        <item x="322"/>
        <item x="502"/>
        <item x="8"/>
        <item x="146"/>
        <item x="194"/>
        <item x="360"/>
        <item x="87"/>
        <item x="243"/>
        <item x="367"/>
        <item x="292"/>
        <item x="375"/>
        <item x="486"/>
        <item x="33"/>
        <item x="323"/>
        <item x="503"/>
        <item x="9"/>
        <item x="147"/>
        <item x="195"/>
        <item x="368"/>
        <item x="88"/>
        <item x="244"/>
        <item x="371"/>
        <item x="293"/>
        <item x="376"/>
        <item x="487"/>
        <item x="74"/>
        <item x="329"/>
        <item x="535"/>
        <item x="61"/>
        <item x="148"/>
        <item x="210"/>
        <item x="416"/>
        <item x="104"/>
        <item x="260"/>
        <item x="419"/>
        <item x="424"/>
        <item x="522"/>
        <item x="75"/>
        <item x="536"/>
        <item x="50"/>
        <item x="149"/>
        <item x="211"/>
        <item x="417"/>
        <item x="105"/>
        <item x="261"/>
        <item x="421"/>
        <item x="425"/>
        <item x="523"/>
        <item x="76"/>
        <item x="330"/>
        <item x="541"/>
        <item x="51"/>
        <item x="150"/>
        <item x="212"/>
        <item x="418"/>
        <item x="106"/>
        <item x="262"/>
        <item x="422"/>
        <item x="294"/>
        <item x="426"/>
        <item x="524"/>
        <item x="77"/>
        <item x="331"/>
        <item x="542"/>
        <item x="52"/>
        <item x="161"/>
        <item x="213"/>
        <item x="420"/>
        <item x="107"/>
        <item x="263"/>
        <item x="427"/>
        <item x="435"/>
        <item x="529"/>
        <item x="78"/>
        <item x="332"/>
        <item x="543"/>
        <item x="53"/>
        <item x="162"/>
        <item x="214"/>
        <item x="428"/>
        <item x="108"/>
        <item x="264"/>
        <item x="431"/>
        <item x="436"/>
        <item x="530"/>
        <item x="34"/>
        <item x="324"/>
        <item x="504"/>
        <item x="10"/>
        <item x="151"/>
        <item x="191"/>
        <item x="369"/>
        <item x="89"/>
        <item x="245"/>
        <item x="373"/>
        <item x="377"/>
        <item x="488"/>
        <item x="35"/>
        <item x="325"/>
        <item x="509"/>
        <item x="11"/>
        <item x="152"/>
        <item x="196"/>
        <item x="370"/>
        <item x="90"/>
        <item x="246"/>
        <item x="374"/>
        <item x="378"/>
        <item x="489"/>
        <item x="36"/>
        <item x="326"/>
        <item x="510"/>
        <item x="12"/>
        <item x="153"/>
        <item x="197"/>
        <item x="372"/>
        <item x="91"/>
        <item x="247"/>
        <item x="379"/>
        <item x="387"/>
        <item x="490"/>
        <item x="37"/>
        <item x="327"/>
        <item x="511"/>
        <item x="13"/>
        <item x="154"/>
        <item x="198"/>
        <item x="380"/>
        <item x="92"/>
        <item x="248"/>
        <item x="383"/>
        <item x="295"/>
        <item x="388"/>
        <item x="491"/>
        <item x="38"/>
        <item x="328"/>
        <item x="512"/>
        <item x="14"/>
        <item x="155"/>
        <item x="199"/>
        <item x="381"/>
        <item x="93"/>
        <item x="249"/>
        <item x="385"/>
        <item x="296"/>
        <item x="389"/>
        <item x="492"/>
        <item x="39"/>
        <item x="333"/>
        <item x="517"/>
        <item x="15"/>
        <item x="128"/>
        <item x="200"/>
        <item x="382"/>
        <item x="94"/>
        <item x="133"/>
        <item x="250"/>
        <item x="386"/>
        <item x="390"/>
        <item x="493"/>
        <item x="40"/>
        <item x="334"/>
        <item x="518"/>
        <item x="16"/>
        <item x="129"/>
        <item x="201"/>
        <item x="384"/>
        <item x="95"/>
        <item x="136"/>
        <item x="251"/>
        <item x="391"/>
        <item x="297"/>
        <item x="399"/>
        <item x="505"/>
        <item x="41"/>
        <item x="335"/>
        <item x="519"/>
        <item x="17"/>
        <item x="130"/>
        <item x="202"/>
        <item x="392"/>
        <item x="96"/>
        <item x="134"/>
        <item x="252"/>
        <item x="395"/>
        <item x="400"/>
        <item x="506"/>
        <item x="42"/>
        <item x="336"/>
        <item x="520"/>
        <item x="18"/>
        <item x="131"/>
        <item x="203"/>
        <item x="393"/>
        <item x="97"/>
        <item x="135"/>
        <item x="253"/>
        <item x="397"/>
        <item x="401"/>
        <item x="507"/>
        <item x="44"/>
        <item x="337"/>
        <item x="525"/>
        <item x="19"/>
        <item x="132"/>
        <item x="204"/>
        <item x="394"/>
        <item x="98"/>
        <item x="137"/>
        <item x="254"/>
        <item x="398"/>
        <item x="298"/>
        <item x="402"/>
        <item x="508"/>
        <item x="62"/>
        <item x="163"/>
        <item x="215"/>
        <item x="429"/>
        <item x="109"/>
        <item x="265"/>
        <item x="433"/>
        <item x="299"/>
        <item x="437"/>
        <item x="531"/>
        <item x="63"/>
        <item x="164"/>
        <item x="216"/>
        <item x="430"/>
        <item x="110"/>
        <item x="266"/>
        <item x="434"/>
        <item x="300"/>
        <item x="438"/>
        <item x="532"/>
        <item x="64"/>
        <item x="165"/>
        <item x="217"/>
        <item x="432"/>
        <item x="111"/>
        <item x="267"/>
        <item x="439"/>
        <item x="447"/>
        <item x="537"/>
        <item x="166"/>
        <item x="184"/>
        <item x="218"/>
        <item x="440"/>
        <item x="183"/>
        <item x="268"/>
        <item x="443"/>
        <item x="301"/>
        <item x="448"/>
        <item x="538"/>
        <item x="65"/>
        <item x="167"/>
        <item x="219"/>
        <item x="441"/>
        <item x="112"/>
        <item x="269"/>
        <item x="445"/>
        <item x="449"/>
        <item x="539"/>
        <item x="45"/>
        <item x="338"/>
        <item x="526"/>
        <item x="20"/>
        <item x="156"/>
        <item x="205"/>
        <item x="396"/>
        <item x="99"/>
        <item x="255"/>
        <item x="403"/>
        <item x="302"/>
        <item x="411"/>
        <item x="513"/>
        <item x="46"/>
        <item x="339"/>
        <item x="527"/>
        <item x="21"/>
        <item x="157"/>
        <item x="206"/>
        <item x="404"/>
        <item x="100"/>
        <item x="256"/>
        <item x="407"/>
        <item x="303"/>
        <item x="412"/>
        <item x="514"/>
        <item x="47"/>
        <item x="528"/>
        <item x="22"/>
        <item x="158"/>
        <item x="207"/>
        <item x="405"/>
        <item x="101"/>
        <item x="257"/>
        <item x="409"/>
        <item x="413"/>
        <item x="515"/>
        <item x="48"/>
        <item x="340"/>
        <item x="533"/>
        <item x="23"/>
        <item x="159"/>
        <item x="208"/>
        <item x="406"/>
        <item x="102"/>
        <item x="258"/>
        <item x="410"/>
        <item x="304"/>
        <item x="414"/>
        <item x="516"/>
        <item x="49"/>
        <item x="341"/>
        <item x="534"/>
        <item x="24"/>
        <item x="160"/>
        <item x="209"/>
        <item x="408"/>
        <item x="103"/>
        <item x="259"/>
        <item x="415"/>
        <item x="423"/>
        <item x="521"/>
        <item x="588"/>
        <item x="558"/>
        <item x="560"/>
        <item x="589"/>
        <item x="559"/>
        <item x="561"/>
        <item x="590"/>
        <item x="562"/>
        <item x="564"/>
        <item x="591"/>
        <item x="563"/>
        <item x="565"/>
        <item x="592"/>
        <item x="566"/>
        <item x="568"/>
        <item x="66"/>
        <item x="168"/>
        <item x="220"/>
        <item x="442"/>
        <item x="113"/>
        <item x="270"/>
        <item x="446"/>
        <item x="305"/>
        <item x="450"/>
        <item x="540"/>
        <item x="54"/>
        <item x="169"/>
        <item x="221"/>
        <item x="444"/>
        <item x="114"/>
        <item x="271"/>
        <item x="451"/>
        <item x="306"/>
        <item x="544"/>
        <item x="55"/>
        <item x="170"/>
        <item x="222"/>
        <item x="452"/>
        <item x="115"/>
        <item x="272"/>
        <item x="455"/>
        <item x="307"/>
        <item x="545"/>
        <item x="56"/>
        <item x="171"/>
        <item x="223"/>
        <item x="453"/>
        <item x="116"/>
        <item x="273"/>
        <item x="457"/>
        <item x="546"/>
        <item x="57"/>
        <item x="172"/>
        <item x="224"/>
        <item x="454"/>
        <item x="117"/>
        <item x="274"/>
        <item x="458"/>
        <item x="308"/>
        <item x="547"/>
        <item x="603"/>
        <item x="608"/>
        <item x="623"/>
        <item x="604"/>
        <item x="609"/>
        <item x="624"/>
        <item x="605"/>
        <item x="611"/>
        <item x="625"/>
        <item x="606"/>
        <item x="610"/>
        <item x="626"/>
        <item x="607"/>
        <item x="617"/>
        <item x="627"/>
        <item x="593"/>
        <item x="567"/>
        <item x="569"/>
        <item x="594"/>
        <item x="570"/>
        <item x="572"/>
        <item x="595"/>
        <item x="571"/>
        <item x="573"/>
        <item x="596"/>
        <item x="574"/>
        <item x="576"/>
        <item x="597"/>
        <item x="575"/>
        <item x="577"/>
        <item x="58"/>
        <item x="173"/>
        <item x="225"/>
        <item x="456"/>
        <item x="118"/>
        <item x="275"/>
        <item x="459"/>
        <item x="548"/>
        <item x="59"/>
        <item x="174"/>
        <item x="226"/>
        <item x="460"/>
        <item x="119"/>
        <item x="276"/>
        <item x="463"/>
        <item x="549"/>
        <item x="60"/>
        <item x="175"/>
        <item x="227"/>
        <item x="461"/>
        <item x="120"/>
        <item x="277"/>
        <item x="465"/>
        <item x="309"/>
        <item x="550"/>
        <item x="67"/>
        <item x="176"/>
        <item x="228"/>
        <item x="462"/>
        <item x="121"/>
        <item x="278"/>
        <item x="466"/>
        <item x="551"/>
        <item x="68"/>
        <item x="177"/>
        <item x="229"/>
        <item x="464"/>
        <item x="122"/>
        <item x="279"/>
        <item x="467"/>
        <item x="310"/>
        <item x="552"/>
        <item x="612"/>
        <item x="618"/>
        <item x="628"/>
        <item x="613"/>
        <item x="619"/>
        <item x="629"/>
        <item x="614"/>
        <item x="620"/>
        <item x="630"/>
        <item x="615"/>
        <item x="621"/>
        <item x="631"/>
        <item x="616"/>
        <item x="622"/>
        <item x="632"/>
        <item x="598"/>
        <item x="578"/>
        <item x="580"/>
        <item x="599"/>
        <item x="579"/>
        <item x="581"/>
        <item x="600"/>
        <item x="582"/>
        <item x="584"/>
        <item x="601"/>
        <item x="583"/>
        <item x="585"/>
        <item x="602"/>
        <item x="586"/>
        <item x="587"/>
        <item x="69"/>
        <item x="178"/>
        <item x="230"/>
        <item x="468"/>
        <item x="123"/>
        <item x="280"/>
        <item x="471"/>
        <item x="311"/>
        <item x="553"/>
        <item x="70"/>
        <item x="179"/>
        <item x="231"/>
        <item x="469"/>
        <item x="124"/>
        <item x="281"/>
        <item x="473"/>
        <item x="312"/>
        <item x="554"/>
        <item x="71"/>
        <item x="180"/>
        <item x="232"/>
        <item x="470"/>
        <item x="125"/>
        <item x="282"/>
        <item x="474"/>
        <item x="313"/>
        <item x="555"/>
        <item x="72"/>
        <item x="181"/>
        <item x="233"/>
        <item x="472"/>
        <item x="126"/>
        <item x="283"/>
        <item x="479"/>
        <item x="556"/>
        <item x="73"/>
        <item x="182"/>
        <item x="234"/>
        <item x="480"/>
        <item x="127"/>
        <item x="284"/>
        <item x="481"/>
        <item x="5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5">
        <item h="1" x="0"/>
        <item h="1" x="1"/>
        <item x="5"/>
        <item h="1" x="2"/>
        <item h="1" x="3"/>
        <item x="8"/>
        <item h="1" x="4"/>
        <item h="1" x="10"/>
        <item x="6"/>
        <item h="1" x="11"/>
        <item x="7"/>
        <item h="1" x="12"/>
        <item x="9"/>
        <item h="1" x="13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2"/>
    <field x="3"/>
    <field x="4"/>
    <field x="0"/>
  </rowFields>
  <rowItems count="238">
    <i>
      <x v="2"/>
      <x v="1"/>
      <x/>
      <x/>
      <x v="129"/>
    </i>
    <i r="4">
      <x v="130"/>
    </i>
    <i r="4">
      <x v="131"/>
    </i>
    <i r="3">
      <x v="1"/>
      <x v="132"/>
    </i>
    <i r="4">
      <x v="133"/>
    </i>
    <i r="4">
      <x v="134"/>
    </i>
    <i r="4">
      <x v="135"/>
    </i>
    <i r="3">
      <x v="2"/>
      <x v="136"/>
    </i>
    <i r="4">
      <x v="137"/>
    </i>
    <i r="4">
      <x v="138"/>
    </i>
    <i r="3">
      <x v="3"/>
      <x v="139"/>
    </i>
    <i r="4">
      <x v="140"/>
    </i>
    <i r="2">
      <x v="1"/>
      <x/>
      <x v="141"/>
    </i>
    <i r="4">
      <x v="142"/>
    </i>
    <i r="3">
      <x v="1"/>
      <x v="143"/>
    </i>
    <i r="4">
      <x v="144"/>
    </i>
    <i r="4">
      <x v="145"/>
    </i>
    <i r="4">
      <x v="146"/>
    </i>
    <i r="3">
      <x v="2"/>
      <x v="147"/>
    </i>
    <i r="4">
      <x v="148"/>
    </i>
    <i r="4">
      <x v="149"/>
    </i>
    <i r="3">
      <x v="3"/>
      <x v="150"/>
    </i>
    <i r="4">
      <x v="151"/>
    </i>
    <i r="2">
      <x v="2"/>
      <x/>
      <x v="152"/>
    </i>
    <i r="4">
      <x v="153"/>
    </i>
    <i r="4">
      <x v="154"/>
    </i>
    <i r="3">
      <x v="1"/>
      <x v="155"/>
    </i>
    <i r="4">
      <x v="156"/>
    </i>
    <i r="4">
      <x v="157"/>
    </i>
    <i r="4">
      <x v="158"/>
    </i>
    <i r="3">
      <x v="2"/>
      <x v="159"/>
    </i>
    <i r="4">
      <x v="160"/>
    </i>
    <i r="4">
      <x v="161"/>
    </i>
    <i r="3">
      <x v="3"/>
      <x v="162"/>
    </i>
    <i r="4">
      <x v="163"/>
    </i>
    <i r="4">
      <x v="164"/>
    </i>
    <i r="2">
      <x v="3"/>
      <x/>
      <x v="165"/>
    </i>
    <i r="4">
      <x v="166"/>
    </i>
    <i r="4">
      <x v="167"/>
    </i>
    <i r="3">
      <x v="1"/>
      <x v="168"/>
    </i>
    <i r="4">
      <x v="169"/>
    </i>
    <i r="4">
      <x v="170"/>
    </i>
    <i r="4">
      <x v="171"/>
    </i>
    <i r="3">
      <x v="2"/>
      <x v="172"/>
    </i>
    <i r="4">
      <x v="173"/>
    </i>
    <i r="4">
      <x v="174"/>
    </i>
    <i r="3">
      <x v="3"/>
      <x v="175"/>
    </i>
    <i r="4">
      <x v="176"/>
    </i>
    <i r="2">
      <x v="4"/>
      <x/>
      <x v="177"/>
    </i>
    <i r="4">
      <x v="178"/>
    </i>
    <i r="4">
      <x v="179"/>
    </i>
    <i r="3">
      <x v="1"/>
      <x v="180"/>
    </i>
    <i r="4">
      <x v="181"/>
    </i>
    <i r="4">
      <x v="182"/>
    </i>
    <i r="4">
      <x v="183"/>
    </i>
    <i r="3">
      <x v="2"/>
      <x v="184"/>
    </i>
    <i r="4">
      <x v="185"/>
    </i>
    <i r="4">
      <x v="186"/>
    </i>
    <i r="3">
      <x v="3"/>
      <x v="187"/>
    </i>
    <i r="4">
      <x v="188"/>
    </i>
    <i>
      <x v="5"/>
      <x v="3"/>
      <x/>
      <x v="1"/>
      <x v="318"/>
    </i>
    <i r="4">
      <x v="319"/>
    </i>
    <i r="4">
      <x v="320"/>
    </i>
    <i r="4">
      <x v="321"/>
    </i>
    <i r="3">
      <x v="2"/>
      <x v="322"/>
    </i>
    <i r="4">
      <x v="323"/>
    </i>
    <i r="4">
      <x v="324"/>
    </i>
    <i r="3">
      <x v="3"/>
      <x v="325"/>
    </i>
    <i r="4">
      <x v="326"/>
    </i>
    <i r="4">
      <x v="327"/>
    </i>
    <i r="2">
      <x v="1"/>
      <x v="1"/>
      <x v="328"/>
    </i>
    <i r="4">
      <x v="329"/>
    </i>
    <i r="4">
      <x v="330"/>
    </i>
    <i r="4">
      <x v="331"/>
    </i>
    <i r="3">
      <x v="2"/>
      <x v="332"/>
    </i>
    <i r="4">
      <x v="333"/>
    </i>
    <i r="4">
      <x v="334"/>
    </i>
    <i r="3">
      <x v="3"/>
      <x v="335"/>
    </i>
    <i r="4">
      <x v="336"/>
    </i>
    <i r="4">
      <x v="337"/>
    </i>
    <i r="2">
      <x v="2"/>
      <x v="1"/>
      <x v="338"/>
    </i>
    <i r="4">
      <x v="339"/>
    </i>
    <i r="4">
      <x v="340"/>
    </i>
    <i r="4">
      <x v="341"/>
    </i>
    <i r="3">
      <x v="2"/>
      <x v="342"/>
    </i>
    <i r="4">
      <x v="343"/>
    </i>
    <i r="4">
      <x v="344"/>
    </i>
    <i r="3">
      <x v="3"/>
      <x v="345"/>
    </i>
    <i r="4">
      <x v="346"/>
    </i>
    <i r="2">
      <x v="3"/>
      <x v="1"/>
      <x v="347"/>
    </i>
    <i r="4">
      <x v="348"/>
    </i>
    <i r="4">
      <x v="349"/>
    </i>
    <i r="4">
      <x v="350"/>
    </i>
    <i r="3">
      <x v="2"/>
      <x v="351"/>
    </i>
    <i r="4">
      <x v="352"/>
    </i>
    <i r="4">
      <x v="353"/>
    </i>
    <i r="3">
      <x v="3"/>
      <x v="354"/>
    </i>
    <i r="4">
      <x v="355"/>
    </i>
    <i r="4">
      <x v="356"/>
    </i>
    <i r="2">
      <x v="4"/>
      <x v="1"/>
      <x v="357"/>
    </i>
    <i r="4">
      <x v="358"/>
    </i>
    <i r="4">
      <x v="359"/>
    </i>
    <i r="4">
      <x v="360"/>
    </i>
    <i r="3">
      <x v="2"/>
      <x v="361"/>
    </i>
    <i r="4">
      <x v="362"/>
    </i>
    <i r="4">
      <x v="363"/>
    </i>
    <i r="3">
      <x v="3"/>
      <x v="364"/>
    </i>
    <i r="4">
      <x v="365"/>
    </i>
    <i>
      <x v="8"/>
      <x v="5"/>
      <x/>
      <x v="1"/>
      <x v="443"/>
    </i>
    <i r="4">
      <x v="444"/>
    </i>
    <i r="4">
      <x v="445"/>
    </i>
    <i r="4">
      <x v="446"/>
    </i>
    <i r="3">
      <x v="2"/>
      <x v="447"/>
    </i>
    <i r="4">
      <x v="448"/>
    </i>
    <i r="4">
      <x v="449"/>
    </i>
    <i r="3">
      <x v="3"/>
      <x v="450"/>
    </i>
    <i r="4">
      <x v="451"/>
    </i>
    <i r="4">
      <x v="452"/>
    </i>
    <i r="2">
      <x v="1"/>
      <x v="1"/>
      <x v="453"/>
    </i>
    <i r="4">
      <x v="454"/>
    </i>
    <i r="4">
      <x v="455"/>
    </i>
    <i r="4">
      <x v="456"/>
    </i>
    <i r="3">
      <x v="2"/>
      <x v="457"/>
    </i>
    <i r="4">
      <x v="458"/>
    </i>
    <i r="4">
      <x v="459"/>
    </i>
    <i r="3">
      <x v="3"/>
      <x v="460"/>
    </i>
    <i r="4">
      <x v="461"/>
    </i>
    <i r="2">
      <x v="2"/>
      <x v="1"/>
      <x v="462"/>
    </i>
    <i r="4">
      <x v="463"/>
    </i>
    <i r="4">
      <x v="464"/>
    </i>
    <i r="4">
      <x v="465"/>
    </i>
    <i r="3">
      <x v="2"/>
      <x v="466"/>
    </i>
    <i r="4">
      <x v="467"/>
    </i>
    <i r="4">
      <x v="468"/>
    </i>
    <i r="3">
      <x v="3"/>
      <x v="469"/>
    </i>
    <i r="4">
      <x v="470"/>
    </i>
    <i r="2">
      <x v="3"/>
      <x v="1"/>
      <x v="471"/>
    </i>
    <i r="4">
      <x v="472"/>
    </i>
    <i r="4">
      <x v="473"/>
    </i>
    <i r="4">
      <x v="474"/>
    </i>
    <i r="3">
      <x v="2"/>
      <x v="475"/>
    </i>
    <i r="4">
      <x v="476"/>
    </i>
    <i r="4">
      <x v="477"/>
    </i>
    <i r="3">
      <x v="3"/>
      <x v="478"/>
    </i>
    <i r="2">
      <x v="4"/>
      <x v="1"/>
      <x v="479"/>
    </i>
    <i r="4">
      <x v="480"/>
    </i>
    <i r="4">
      <x v="481"/>
    </i>
    <i r="4">
      <x v="482"/>
    </i>
    <i r="3">
      <x v="2"/>
      <x v="483"/>
    </i>
    <i r="4">
      <x v="484"/>
    </i>
    <i r="4">
      <x v="485"/>
    </i>
    <i r="3">
      <x v="3"/>
      <x v="486"/>
    </i>
    <i r="4">
      <x v="487"/>
    </i>
    <i>
      <x v="10"/>
      <x v="6"/>
      <x/>
      <x v="1"/>
      <x v="518"/>
    </i>
    <i r="4">
      <x v="519"/>
    </i>
    <i r="4">
      <x v="520"/>
    </i>
    <i r="4">
      <x v="521"/>
    </i>
    <i r="3">
      <x v="2"/>
      <x v="522"/>
    </i>
    <i r="4">
      <x v="523"/>
    </i>
    <i r="4">
      <x v="524"/>
    </i>
    <i r="3">
      <x v="3"/>
      <x v="525"/>
    </i>
    <i r="2">
      <x v="1"/>
      <x v="1"/>
      <x v="526"/>
    </i>
    <i r="4">
      <x v="527"/>
    </i>
    <i r="4">
      <x v="528"/>
    </i>
    <i r="4">
      <x v="529"/>
    </i>
    <i r="3">
      <x v="2"/>
      <x v="530"/>
    </i>
    <i r="4">
      <x v="531"/>
    </i>
    <i r="4">
      <x v="532"/>
    </i>
    <i r="3">
      <x v="3"/>
      <x v="533"/>
    </i>
    <i r="2">
      <x v="2"/>
      <x v="1"/>
      <x v="534"/>
    </i>
    <i r="4">
      <x v="535"/>
    </i>
    <i r="4">
      <x v="536"/>
    </i>
    <i r="4">
      <x v="537"/>
    </i>
    <i r="3">
      <x v="2"/>
      <x v="538"/>
    </i>
    <i r="4">
      <x v="539"/>
    </i>
    <i r="4">
      <x v="540"/>
    </i>
    <i r="3">
      <x v="3"/>
      <x v="541"/>
    </i>
    <i r="4">
      <x v="542"/>
    </i>
    <i r="2">
      <x v="3"/>
      <x v="1"/>
      <x v="543"/>
    </i>
    <i r="4">
      <x v="544"/>
    </i>
    <i r="4">
      <x v="545"/>
    </i>
    <i r="4">
      <x v="546"/>
    </i>
    <i r="3">
      <x v="2"/>
      <x v="547"/>
    </i>
    <i r="4">
      <x v="548"/>
    </i>
    <i r="4">
      <x v="549"/>
    </i>
    <i r="3">
      <x v="3"/>
      <x v="550"/>
    </i>
    <i r="2">
      <x v="4"/>
      <x v="1"/>
      <x v="551"/>
    </i>
    <i r="4">
      <x v="552"/>
    </i>
    <i r="4">
      <x v="553"/>
    </i>
    <i r="4">
      <x v="554"/>
    </i>
    <i r="3">
      <x v="2"/>
      <x v="555"/>
    </i>
    <i r="4">
      <x v="556"/>
    </i>
    <i r="4">
      <x v="557"/>
    </i>
    <i r="3">
      <x v="3"/>
      <x v="558"/>
    </i>
    <i r="4">
      <x v="559"/>
    </i>
    <i>
      <x v="12"/>
      <x v="7"/>
      <x/>
      <x v="1"/>
      <x v="590"/>
    </i>
    <i r="4">
      <x v="591"/>
    </i>
    <i r="4">
      <x v="592"/>
    </i>
    <i r="4">
      <x v="593"/>
    </i>
    <i r="3">
      <x v="2"/>
      <x v="594"/>
    </i>
    <i r="4">
      <x v="595"/>
    </i>
    <i r="4">
      <x v="596"/>
    </i>
    <i r="3">
      <x v="3"/>
      <x v="597"/>
    </i>
    <i r="4">
      <x v="598"/>
    </i>
    <i r="2">
      <x v="1"/>
      <x v="1"/>
      <x v="599"/>
    </i>
    <i r="4">
      <x v="600"/>
    </i>
    <i r="4">
      <x v="601"/>
    </i>
    <i r="4">
      <x v="602"/>
    </i>
    <i r="3">
      <x v="2"/>
      <x v="603"/>
    </i>
    <i r="4">
      <x v="604"/>
    </i>
    <i r="4">
      <x v="605"/>
    </i>
    <i r="3">
      <x v="3"/>
      <x v="606"/>
    </i>
    <i r="4">
      <x v="607"/>
    </i>
    <i r="2">
      <x v="2"/>
      <x v="1"/>
      <x v="608"/>
    </i>
    <i r="4">
      <x v="609"/>
    </i>
    <i r="4">
      <x v="610"/>
    </i>
    <i r="4">
      <x v="611"/>
    </i>
    <i r="3">
      <x v="2"/>
      <x v="612"/>
    </i>
    <i r="4">
      <x v="613"/>
    </i>
    <i r="4">
      <x v="614"/>
    </i>
    <i r="3">
      <x v="3"/>
      <x v="615"/>
    </i>
    <i r="4">
      <x v="616"/>
    </i>
    <i r="2">
      <x v="3"/>
      <x v="1"/>
      <x v="617"/>
    </i>
    <i r="4">
      <x v="618"/>
    </i>
    <i r="4">
      <x v="619"/>
    </i>
    <i r="4">
      <x v="620"/>
    </i>
    <i r="3">
      <x v="2"/>
      <x v="621"/>
    </i>
    <i r="4">
      <x v="622"/>
    </i>
    <i r="4">
      <x v="623"/>
    </i>
    <i r="3">
      <x v="3"/>
      <x v="624"/>
    </i>
    <i r="2">
      <x v="4"/>
      <x v="1"/>
      <x v="625"/>
    </i>
    <i r="4">
      <x v="626"/>
    </i>
    <i r="4">
      <x v="627"/>
    </i>
    <i r="4">
      <x v="628"/>
    </i>
    <i r="3">
      <x v="2"/>
      <x v="629"/>
    </i>
    <i r="4">
      <x v="630"/>
    </i>
    <i r="4">
      <x v="631"/>
    </i>
    <i r="3">
      <x v="3"/>
      <x v="632"/>
    </i>
  </rowItems>
  <colItems count="1">
    <i/>
  </colItems>
  <dataFields count="1">
    <dataField name="计数项:obj" fld="8" subtotal="count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6EB24-F37C-4A30-B19B-81EA6D30725A}" name="数据透视表2" cacheId="7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7" indent="0" compact="0" compactData="0" multipleFieldFilters="0">
  <location ref="A3:H18" firstHeaderRow="0" firstDataRow="1" firstDataCol="2"/>
  <pivotFields count="12">
    <pivotField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15">
    <i>
      <x/>
      <x v="1"/>
    </i>
    <i r="1">
      <x v="3"/>
    </i>
    <i r="1">
      <x v="5"/>
    </i>
    <i r="1">
      <x v="7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平均值项:LB" fld="5" subtotal="average" baseField="2" baseItem="7"/>
    <dataField name="平均值项:CPLEX" fld="6" subtotal="average" baseField="2" baseItem="7"/>
    <dataField name="平均值项:FCFS" fld="7" subtotal="average" baseField="2" baseItem="7"/>
    <dataField name="平均值项:CSNS" fld="10" subtotal="average" baseField="2" baseItem="7"/>
    <dataField name="平均值项:TSA" fld="11" subtotal="average" baseField="2" baseItem="7"/>
    <dataField name="平均值项:CETSA" fld="8" subtotal="average" baseField="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8530A1-E40D-46BB-94E3-DCEADFE06BC2}" autoFormatId="16" applyNumberFormats="0" applyBorderFormats="0" applyFontFormats="0" applyPatternFormats="0" applyAlignmentFormats="0" applyWidthHeightFormats="0">
  <queryTableRefresh nextId="15">
    <queryTableFields count="14">
      <queryTableField id="1" name="instance" tableColumnId="1"/>
      <queryTableField id="2" name="ships" tableColumnId="2"/>
      <queryTableField id="3" name="yard" tableColumnId="3"/>
      <queryTableField id="4" name="seed" tableColumnId="4"/>
      <queryTableField id="5" name="solver" tableColumnId="5"/>
      <queryTableField id="6" name="testTime" tableColumnId="6"/>
      <queryTableField id="7" name="objCongestion" tableColumnId="7"/>
      <queryTableField id="8" name="solverName" tableColumnId="8"/>
      <queryTableField id="9" name="obj" tableColumnId="9"/>
      <queryTableField id="10" name="solverStartTime" tableColumnId="10"/>
      <queryTableField id="11" name="gap" tableColumnId="11"/>
      <queryTableField id="12" name="objTime" tableColumnId="12"/>
      <queryTableField id="13" name="time" tableColumnId="13"/>
      <queryTableField id="14" name="objRout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4B1E8-FFD1-4BBC-874D-D3256B34AC7C}" autoFormatId="16" applyNumberFormats="0" applyBorderFormats="0" applyFontFormats="0" applyPatternFormats="0" applyAlignmentFormats="0" applyWidthHeightFormats="0">
  <queryTableRefresh nextId="10">
    <queryTableFields count="9">
      <queryTableField id="1" name="file" tableColumnId="1"/>
      <queryTableField id="2" name="instance" tableColumnId="2"/>
      <queryTableField id="3" name="method" tableColumnId="3"/>
      <queryTableField id="4" name="obj" tableColumnId="4"/>
      <queryTableField id="5" name="route" tableColumnId="5"/>
      <queryTableField id="6" name="time" tableColumnId="6"/>
      <queryTableField id="7" name="congestion" tableColumnId="7"/>
      <queryTableField id="8" name="elapsed time" tableColumnId="8"/>
      <queryTableField id="9" name="evaluated solutio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17E31-FB56-4644-8177-DAEA006FCC1F}" name="summary" displayName="summary" ref="A1:N634" tableType="queryTable" totalsRowShown="0">
  <autoFilter ref="A1:N634" xr:uid="{BCE17E31-FB56-4644-8177-DAEA006FCC1F}">
    <filterColumn colId="1">
      <filters>
        <filter val="04-01-01"/>
      </filters>
    </filterColumn>
    <filterColumn colId="4">
      <filters>
        <filter val="cplexIntegrated"/>
      </filters>
    </filterColumn>
  </autoFilter>
  <sortState xmlns:xlrd2="http://schemas.microsoft.com/office/spreadsheetml/2017/richdata2" ref="A2:N634">
    <sortCondition ref="F1:F634"/>
  </sortState>
  <tableColumns count="14">
    <tableColumn id="1" xr3:uid="{BAB587E8-2291-4FC0-BAD7-47E7580D3FD9}" uniqueName="1" name="instance" queryTableFieldId="1" dataDxfId="25"/>
    <tableColumn id="2" xr3:uid="{CF7DE1F9-A2DB-499E-A313-93A26FE5F182}" uniqueName="2" name="ships" queryTableFieldId="2" dataDxfId="24"/>
    <tableColumn id="3" xr3:uid="{9DF945FD-FD01-4A22-BC43-C9890B3F6FB2}" uniqueName="3" name="yard" queryTableFieldId="3" dataDxfId="23"/>
    <tableColumn id="4" xr3:uid="{87AF5D20-17AF-4006-983A-946979F6265F}" uniqueName="4" name="seed" queryTableFieldId="4"/>
    <tableColumn id="5" xr3:uid="{6E8E7C90-4773-4A86-B684-572C2F28D0BA}" uniqueName="5" name="solver" queryTableFieldId="5" dataDxfId="22"/>
    <tableColumn id="6" xr3:uid="{B556D670-D07E-437D-A1BD-BFA77382383E}" uniqueName="6" name="testTime" queryTableFieldId="6" dataDxfId="21"/>
    <tableColumn id="7" xr3:uid="{3353AA99-1912-420F-9DE8-C2CC71CB963C}" uniqueName="7" name="objCongestion" queryTableFieldId="7"/>
    <tableColumn id="8" xr3:uid="{32C59647-9050-4A75-9B35-DF9E3CF66B0C}" uniqueName="8" name="solverName" queryTableFieldId="8" dataDxfId="20"/>
    <tableColumn id="9" xr3:uid="{A5821868-3B0B-4F0B-BC9A-C999412CFB35}" uniqueName="9" name="obj" queryTableFieldId="9"/>
    <tableColumn id="10" xr3:uid="{8E76D387-8B36-45CA-A2E5-868ECDDB2684}" uniqueName="10" name="solverStartTime" queryTableFieldId="10" dataDxfId="19"/>
    <tableColumn id="11" xr3:uid="{7DC5891D-C9F0-425D-A312-5B757097E802}" uniqueName="11" name="gap" queryTableFieldId="11"/>
    <tableColumn id="12" xr3:uid="{BDAE806E-A47B-4202-ACB8-1A0A766ACA57}" uniqueName="12" name="objTime" queryTableFieldId="12"/>
    <tableColumn id="13" xr3:uid="{0CBCB730-4597-4F65-9679-5FE4E137E759}" uniqueName="13" name="time" queryTableFieldId="13"/>
    <tableColumn id="14" xr3:uid="{3DE606C4-6B55-43F8-A235-B8AD4AA17DBF}" uniqueName="14" name="objRout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0D80C-0D58-4C7F-8A9B-4F0C90E0D9F8}" name="FCFS" displayName="FCFS" ref="A1:I226" tableType="queryTable" totalsRowShown="0">
  <autoFilter ref="A1:I226" xr:uid="{0AC0D80C-0D58-4C7F-8A9B-4F0C90E0D9F8}">
    <filterColumn colId="1">
      <filters>
        <filter val="{04-00-02}_{06-02}_01"/>
        <filter val="{04-00-02}_{06-02}_02"/>
        <filter val="{04-00-02}_{06-02}_03"/>
        <filter val="{04-00-02}_{06-02}_04"/>
        <filter val="{04-00-02}_{06-02}_05"/>
        <filter val="{08-00-04}_{06-04}_01"/>
        <filter val="{08-00-04}_{06-04}_02"/>
        <filter val="{08-00-04}_{06-04}_03"/>
        <filter val="{08-00-04}_{06-04}_04"/>
        <filter val="{08-00-04}_{06-04}_05"/>
        <filter val="{12-00-06}_{06-06}_01"/>
        <filter val="{12-00-06}_{06-06}_02"/>
        <filter val="{12-00-06}_{06-06}_03"/>
        <filter val="{12-00-06}_{06-06}_04"/>
        <filter val="{12-00-06}_{06-06}_05"/>
        <filter val="{16-00-08}_{06-08}_01"/>
        <filter val="{16-00-08}_{06-08}_02"/>
        <filter val="{16-00-08}_{06-08}_03"/>
        <filter val="{16-00-08}_{06-08}_04"/>
        <filter val="{16-00-08}_{06-08}_05"/>
        <filter val="{20-00-10}_{06-10}_01"/>
        <filter val="{20-00-10}_{06-10}_02"/>
        <filter val="{20-00-10}_{06-10}_03"/>
        <filter val="{20-00-10}_{06-10}_04"/>
        <filter val="{20-00-10}_{06-10}_05"/>
      </filters>
    </filterColumn>
    <filterColumn colId="2">
      <filters>
        <filter val="decomposedNeighborhoodSearch"/>
      </filters>
    </filterColumn>
  </autoFilter>
  <sortState xmlns:xlrd2="http://schemas.microsoft.com/office/spreadsheetml/2017/richdata2" ref="A2:I226">
    <sortCondition ref="B1:B226"/>
  </sortState>
  <tableColumns count="9">
    <tableColumn id="1" xr3:uid="{9F82E8FC-21B4-4812-BB5E-56E7612AFCBF}" uniqueName="1" name="file" queryTableFieldId="1" dataDxfId="18"/>
    <tableColumn id="2" xr3:uid="{EEE76563-6F1E-4038-A847-C69F27581C86}" uniqueName="2" name="instance" queryTableFieldId="2" dataDxfId="17"/>
    <tableColumn id="3" xr3:uid="{E927A71A-39D8-4AA8-92BE-29C647E824FB}" uniqueName="3" name="method" queryTableFieldId="3" dataDxfId="16"/>
    <tableColumn id="4" xr3:uid="{A7CFAD01-0D4E-45EF-813E-818C36331B20}" uniqueName="4" name="obj" queryTableFieldId="4"/>
    <tableColumn id="5" xr3:uid="{2D07AD77-7721-45ED-876F-380F0F5F37A8}" uniqueName="5" name="route" queryTableFieldId="5"/>
    <tableColumn id="6" xr3:uid="{EF09FE39-2A72-4933-931D-9732DE95FF2D}" uniqueName="6" name="time" queryTableFieldId="6"/>
    <tableColumn id="7" xr3:uid="{E7372729-8D7E-4F94-8E8E-32E466211237}" uniqueName="7" name="congestion" queryTableFieldId="7"/>
    <tableColumn id="8" xr3:uid="{7462F679-508D-467A-AC26-51744C693EF7}" uniqueName="8" name="elapsed time" queryTableFieldId="8"/>
    <tableColumn id="9" xr3:uid="{196ACD7F-5FE1-401F-A301-B18ECDA4A5C9}" uniqueName="9" name="evaluated solutio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7637-4FE7-4FBD-A881-CA54F51D6AB0}">
  <dimension ref="A1:N634"/>
  <sheetViews>
    <sheetView workbookViewId="0">
      <selection activeCell="A590" sqref="A590"/>
    </sheetView>
  </sheetViews>
  <sheetFormatPr defaultRowHeight="14" x14ac:dyDescent="0.3"/>
  <cols>
    <col min="1" max="1" width="77.9140625" bestFit="1" customWidth="1"/>
    <col min="2" max="2" width="9" bestFit="1" customWidth="1"/>
    <col min="3" max="3" width="6.83203125" bestFit="1" customWidth="1"/>
    <col min="4" max="4" width="7.08203125" bestFit="1" customWidth="1"/>
    <col min="5" max="5" width="29.83203125" bestFit="1" customWidth="1"/>
    <col min="6" max="6" width="19.75" bestFit="1" customWidth="1"/>
    <col min="7" max="7" width="15.6640625" bestFit="1" customWidth="1"/>
    <col min="8" max="8" width="29.83203125" bestFit="1" customWidth="1"/>
    <col min="9" max="9" width="12.33203125" bestFit="1" customWidth="1"/>
    <col min="10" max="10" width="17" bestFit="1" customWidth="1"/>
    <col min="11" max="11" width="12.5" bestFit="1" customWidth="1"/>
    <col min="12" max="12" width="12.33203125" bestFit="1" customWidth="1"/>
    <col min="13" max="13" width="9.1640625" bestFit="1" customWidth="1"/>
    <col min="14" max="14" width="1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3">
      <c r="A2" s="1" t="s">
        <v>838</v>
      </c>
      <c r="B2" s="1" t="s">
        <v>13</v>
      </c>
      <c r="C2" s="1" t="s">
        <v>14</v>
      </c>
      <c r="D2">
        <v>1</v>
      </c>
      <c r="E2" s="1" t="s">
        <v>16</v>
      </c>
      <c r="F2" s="1" t="s">
        <v>839</v>
      </c>
      <c r="G2">
        <v>0</v>
      </c>
      <c r="H2" s="1" t="s">
        <v>16</v>
      </c>
      <c r="I2">
        <v>16.918120957822438</v>
      </c>
      <c r="J2" s="1" t="s">
        <v>840</v>
      </c>
      <c r="K2">
        <v>0</v>
      </c>
      <c r="L2">
        <v>13.65585150405872</v>
      </c>
      <c r="M2">
        <v>848.81100000000004</v>
      </c>
      <c r="N2">
        <v>3.2622694537637185</v>
      </c>
    </row>
    <row r="3" spans="1:14" hidden="1" x14ac:dyDescent="0.3">
      <c r="A3" s="1" t="s">
        <v>861</v>
      </c>
      <c r="B3" s="1" t="s">
        <v>13</v>
      </c>
      <c r="C3" s="1" t="s">
        <v>14</v>
      </c>
      <c r="D3">
        <v>2</v>
      </c>
      <c r="E3" s="1" t="s">
        <v>16</v>
      </c>
      <c r="F3" s="1" t="s">
        <v>839</v>
      </c>
      <c r="G3">
        <v>0</v>
      </c>
      <c r="H3" s="1" t="s">
        <v>16</v>
      </c>
      <c r="I3">
        <v>18.987250064393521</v>
      </c>
      <c r="J3" s="1" t="s">
        <v>840</v>
      </c>
      <c r="K3">
        <v>0</v>
      </c>
      <c r="L3">
        <v>15.191026988511776</v>
      </c>
      <c r="M3">
        <v>1492.6</v>
      </c>
      <c r="N3">
        <v>3.7962230758817452</v>
      </c>
    </row>
    <row r="4" spans="1:14" hidden="1" x14ac:dyDescent="0.3">
      <c r="A4" s="1" t="s">
        <v>870</v>
      </c>
      <c r="B4" s="1" t="s">
        <v>13</v>
      </c>
      <c r="C4" s="1" t="s">
        <v>14</v>
      </c>
      <c r="D4">
        <v>3</v>
      </c>
      <c r="E4" s="1" t="s">
        <v>16</v>
      </c>
      <c r="F4" s="1" t="s">
        <v>839</v>
      </c>
      <c r="G4">
        <v>0</v>
      </c>
      <c r="H4" s="1" t="s">
        <v>16</v>
      </c>
      <c r="I4">
        <v>1.3297937619041584</v>
      </c>
      <c r="J4" s="1" t="s">
        <v>840</v>
      </c>
      <c r="K4">
        <v>0</v>
      </c>
      <c r="L4">
        <v>0</v>
      </c>
      <c r="M4">
        <v>305.64999999999998</v>
      </c>
      <c r="N4">
        <v>1.3297937619041584</v>
      </c>
    </row>
    <row r="5" spans="1:14" hidden="1" x14ac:dyDescent="0.3">
      <c r="A5" s="1" t="s">
        <v>880</v>
      </c>
      <c r="B5" s="1" t="s">
        <v>13</v>
      </c>
      <c r="C5" s="1" t="s">
        <v>14</v>
      </c>
      <c r="D5">
        <v>4</v>
      </c>
      <c r="E5" s="1" t="s">
        <v>16</v>
      </c>
      <c r="F5" s="1" t="s">
        <v>839</v>
      </c>
      <c r="G5">
        <v>0</v>
      </c>
      <c r="H5" s="1" t="s">
        <v>16</v>
      </c>
      <c r="I5">
        <v>2.3105343292147222</v>
      </c>
      <c r="J5" s="1" t="s">
        <v>840</v>
      </c>
      <c r="K5">
        <v>0</v>
      </c>
      <c r="L5">
        <v>0</v>
      </c>
      <c r="M5">
        <v>338.07</v>
      </c>
      <c r="N5">
        <v>2.3105343292147222</v>
      </c>
    </row>
    <row r="6" spans="1:14" hidden="1" x14ac:dyDescent="0.3">
      <c r="A6" s="1" t="s">
        <v>889</v>
      </c>
      <c r="B6" s="1" t="s">
        <v>13</v>
      </c>
      <c r="C6" s="1" t="s">
        <v>14</v>
      </c>
      <c r="D6">
        <v>5</v>
      </c>
      <c r="E6" s="1" t="s">
        <v>16</v>
      </c>
      <c r="F6" s="1" t="s">
        <v>839</v>
      </c>
      <c r="G6">
        <v>0</v>
      </c>
      <c r="H6" s="1" t="s">
        <v>16</v>
      </c>
      <c r="I6">
        <v>2.5877124926957351</v>
      </c>
      <c r="J6" s="1" t="s">
        <v>840</v>
      </c>
      <c r="K6">
        <v>0</v>
      </c>
      <c r="L6">
        <v>0</v>
      </c>
      <c r="M6">
        <v>261.59800000000001</v>
      </c>
      <c r="N6">
        <v>2.5877124926957351</v>
      </c>
    </row>
    <row r="7" spans="1:14" hidden="1" x14ac:dyDescent="0.3">
      <c r="A7" s="1" t="s">
        <v>900</v>
      </c>
      <c r="B7" s="1" t="s">
        <v>18</v>
      </c>
      <c r="C7" s="1" t="s">
        <v>19</v>
      </c>
      <c r="D7">
        <v>1</v>
      </c>
      <c r="E7" s="1" t="s">
        <v>16</v>
      </c>
      <c r="F7" s="1" t="s">
        <v>839</v>
      </c>
      <c r="G7">
        <v>0</v>
      </c>
      <c r="H7" s="1" t="s">
        <v>16</v>
      </c>
      <c r="I7">
        <v>29.582346018554247</v>
      </c>
      <c r="J7" s="1" t="s">
        <v>840</v>
      </c>
      <c r="K7">
        <v>0</v>
      </c>
      <c r="L7">
        <v>15.017573519538377</v>
      </c>
      <c r="M7">
        <v>3600.4830000000002</v>
      </c>
      <c r="N7">
        <v>14.56477249901587</v>
      </c>
    </row>
    <row r="8" spans="1:14" hidden="1" x14ac:dyDescent="0.3">
      <c r="A8" s="1" t="s">
        <v>909</v>
      </c>
      <c r="B8" s="1" t="s">
        <v>18</v>
      </c>
      <c r="C8" s="1" t="s">
        <v>19</v>
      </c>
      <c r="D8">
        <v>2</v>
      </c>
      <c r="E8" s="1" t="s">
        <v>16</v>
      </c>
      <c r="F8" s="1" t="s">
        <v>839</v>
      </c>
      <c r="G8">
        <v>0</v>
      </c>
      <c r="H8" s="1" t="s">
        <v>16</v>
      </c>
      <c r="I8">
        <v>47.260956908394022</v>
      </c>
      <c r="J8" s="1" t="s">
        <v>840</v>
      </c>
      <c r="K8">
        <v>0</v>
      </c>
      <c r="L8">
        <v>31.323137896476709</v>
      </c>
      <c r="M8">
        <v>3600.873</v>
      </c>
      <c r="N8">
        <v>15.937819011917313</v>
      </c>
    </row>
    <row r="9" spans="1:14" hidden="1" x14ac:dyDescent="0.3">
      <c r="A9" s="1" t="s">
        <v>918</v>
      </c>
      <c r="B9" s="1" t="s">
        <v>18</v>
      </c>
      <c r="C9" s="1" t="s">
        <v>19</v>
      </c>
      <c r="D9">
        <v>3</v>
      </c>
      <c r="E9" s="1" t="s">
        <v>16</v>
      </c>
      <c r="F9" s="1" t="s">
        <v>839</v>
      </c>
      <c r="G9">
        <v>0</v>
      </c>
      <c r="H9" s="1" t="s">
        <v>16</v>
      </c>
      <c r="I9">
        <v>13.41389757073101</v>
      </c>
      <c r="J9" s="1" t="s">
        <v>840</v>
      </c>
      <c r="K9">
        <v>0</v>
      </c>
      <c r="L9">
        <v>0</v>
      </c>
      <c r="M9">
        <v>3600.4679999999998</v>
      </c>
      <c r="N9">
        <v>13.41389757073101</v>
      </c>
    </row>
    <row r="10" spans="1:14" hidden="1" x14ac:dyDescent="0.3">
      <c r="A10" s="1" t="s">
        <v>928</v>
      </c>
      <c r="B10" s="1" t="s">
        <v>18</v>
      </c>
      <c r="C10" s="1" t="s">
        <v>19</v>
      </c>
      <c r="D10">
        <v>4</v>
      </c>
      <c r="E10" s="1" t="s">
        <v>16</v>
      </c>
      <c r="F10" s="1" t="s">
        <v>839</v>
      </c>
      <c r="G10">
        <v>0</v>
      </c>
      <c r="H10" s="1" t="s">
        <v>16</v>
      </c>
      <c r="I10">
        <v>11.944114975004219</v>
      </c>
      <c r="J10" s="1" t="s">
        <v>840</v>
      </c>
      <c r="K10">
        <v>0</v>
      </c>
      <c r="L10">
        <v>0</v>
      </c>
      <c r="M10">
        <v>3600.6320000000001</v>
      </c>
      <c r="N10">
        <v>11.944114975004219</v>
      </c>
    </row>
    <row r="11" spans="1:14" hidden="1" x14ac:dyDescent="0.3">
      <c r="A11" s="1" t="s">
        <v>939</v>
      </c>
      <c r="B11" s="1" t="s">
        <v>18</v>
      </c>
      <c r="C11" s="1" t="s">
        <v>19</v>
      </c>
      <c r="D11">
        <v>5</v>
      </c>
      <c r="E11" s="1" t="s">
        <v>16</v>
      </c>
      <c r="F11" s="1" t="s">
        <v>839</v>
      </c>
      <c r="G11">
        <v>0</v>
      </c>
      <c r="H11" s="1" t="s">
        <v>16</v>
      </c>
      <c r="I11">
        <v>25.130743874916369</v>
      </c>
      <c r="J11" s="1" t="s">
        <v>840</v>
      </c>
      <c r="K11">
        <v>0</v>
      </c>
      <c r="L11">
        <v>12.047395139822598</v>
      </c>
      <c r="M11">
        <v>3600.4580000000001</v>
      </c>
      <c r="N11">
        <v>13.083348735093772</v>
      </c>
    </row>
    <row r="12" spans="1:14" hidden="1" x14ac:dyDescent="0.3">
      <c r="A12" s="1" t="s">
        <v>1035</v>
      </c>
      <c r="B12" s="1" t="s">
        <v>21</v>
      </c>
      <c r="C12" s="1" t="s">
        <v>22</v>
      </c>
      <c r="D12">
        <v>1</v>
      </c>
      <c r="E12" s="1" t="s">
        <v>16</v>
      </c>
      <c r="F12" s="1" t="s">
        <v>839</v>
      </c>
      <c r="G12">
        <v>0</v>
      </c>
      <c r="H12" s="1" t="s">
        <v>16</v>
      </c>
      <c r="I12">
        <v>70.498930389086652</v>
      </c>
      <c r="J12" s="1" t="s">
        <v>840</v>
      </c>
      <c r="K12">
        <v>0</v>
      </c>
      <c r="L12">
        <v>40.389726054717919</v>
      </c>
      <c r="M12">
        <v>3600.6570000000002</v>
      </c>
      <c r="N12">
        <v>30.10920433436873</v>
      </c>
    </row>
    <row r="13" spans="1:14" hidden="1" x14ac:dyDescent="0.3">
      <c r="A13" s="1" t="s">
        <v>1046</v>
      </c>
      <c r="B13" s="1" t="s">
        <v>21</v>
      </c>
      <c r="C13" s="1" t="s">
        <v>22</v>
      </c>
      <c r="D13">
        <v>2</v>
      </c>
      <c r="E13" s="1" t="s">
        <v>16</v>
      </c>
      <c r="F13" s="1" t="s">
        <v>839</v>
      </c>
      <c r="G13">
        <v>0</v>
      </c>
      <c r="H13" s="1" t="s">
        <v>16</v>
      </c>
      <c r="I13">
        <v>71.146096391558302</v>
      </c>
      <c r="J13" s="1" t="s">
        <v>840</v>
      </c>
      <c r="K13">
        <v>0</v>
      </c>
      <c r="L13">
        <v>42.841356264415822</v>
      </c>
      <c r="M13">
        <v>3600.4780000000001</v>
      </c>
      <c r="N13">
        <v>28.304740127142484</v>
      </c>
    </row>
    <row r="14" spans="1:14" hidden="1" x14ac:dyDescent="0.3">
      <c r="A14" s="1" t="s">
        <v>1060</v>
      </c>
      <c r="B14" s="1" t="s">
        <v>21</v>
      </c>
      <c r="C14" s="1" t="s">
        <v>22</v>
      </c>
      <c r="D14">
        <v>3</v>
      </c>
      <c r="E14" s="1" t="s">
        <v>16</v>
      </c>
      <c r="F14" s="1" t="s">
        <v>839</v>
      </c>
      <c r="G14">
        <v>0</v>
      </c>
      <c r="H14" s="1" t="s">
        <v>16</v>
      </c>
      <c r="I14">
        <v>69.702587327441449</v>
      </c>
      <c r="J14" s="1" t="s">
        <v>840</v>
      </c>
      <c r="K14">
        <v>0</v>
      </c>
      <c r="L14">
        <v>36.206699411053116</v>
      </c>
      <c r="M14">
        <v>3601.3440000000001</v>
      </c>
      <c r="N14">
        <v>33.495887916388327</v>
      </c>
    </row>
    <row r="15" spans="1:14" hidden="1" x14ac:dyDescent="0.3">
      <c r="A15" s="1" t="s">
        <v>1076</v>
      </c>
      <c r="B15" s="1" t="s">
        <v>21</v>
      </c>
      <c r="C15" s="1" t="s">
        <v>22</v>
      </c>
      <c r="D15">
        <v>4</v>
      </c>
      <c r="E15" s="1" t="s">
        <v>16</v>
      </c>
      <c r="F15" s="1" t="s">
        <v>839</v>
      </c>
      <c r="G15">
        <v>0</v>
      </c>
      <c r="H15" s="1" t="s">
        <v>16</v>
      </c>
      <c r="I15">
        <v>84.784004235869688</v>
      </c>
      <c r="J15" s="1" t="s">
        <v>840</v>
      </c>
      <c r="K15">
        <v>0</v>
      </c>
      <c r="L15">
        <v>55.074124649631173</v>
      </c>
      <c r="M15">
        <v>3600.9549999999999</v>
      </c>
      <c r="N15">
        <v>29.709879586238518</v>
      </c>
    </row>
    <row r="16" spans="1:14" hidden="1" x14ac:dyDescent="0.3">
      <c r="A16" s="1" t="s">
        <v>1092</v>
      </c>
      <c r="B16" s="1" t="s">
        <v>21</v>
      </c>
      <c r="C16" s="1" t="s">
        <v>22</v>
      </c>
      <c r="D16">
        <v>5</v>
      </c>
      <c r="E16" s="1" t="s">
        <v>16</v>
      </c>
      <c r="F16" s="1" t="s">
        <v>839</v>
      </c>
      <c r="G16">
        <v>0</v>
      </c>
      <c r="H16" s="1" t="s">
        <v>16</v>
      </c>
      <c r="I16">
        <v>57.69089677677006</v>
      </c>
      <c r="J16" s="1" t="s">
        <v>840</v>
      </c>
      <c r="K16">
        <v>0</v>
      </c>
      <c r="L16">
        <v>27.415363976010688</v>
      </c>
      <c r="M16">
        <v>3600.5650000000001</v>
      </c>
      <c r="N16">
        <v>30.275532800759375</v>
      </c>
    </row>
    <row r="17" spans="1:14" hidden="1" x14ac:dyDescent="0.3">
      <c r="A17" s="1" t="s">
        <v>1109</v>
      </c>
      <c r="B17" s="1" t="s">
        <v>23</v>
      </c>
      <c r="C17" s="1" t="s">
        <v>24</v>
      </c>
      <c r="D17">
        <v>1</v>
      </c>
      <c r="E17" s="1" t="s">
        <v>16</v>
      </c>
      <c r="F17" s="1" t="s">
        <v>839</v>
      </c>
      <c r="G17">
        <v>0</v>
      </c>
      <c r="H17" s="1" t="s">
        <v>16</v>
      </c>
      <c r="I17">
        <v>110.85459203901021</v>
      </c>
      <c r="J17" s="1" t="s">
        <v>840</v>
      </c>
      <c r="K17">
        <v>0</v>
      </c>
      <c r="L17">
        <v>66.1912842193872</v>
      </c>
      <c r="M17">
        <v>3601.32</v>
      </c>
      <c r="N17">
        <v>44.663307819623014</v>
      </c>
    </row>
    <row r="18" spans="1:14" hidden="1" x14ac:dyDescent="0.3">
      <c r="A18" s="1" t="s">
        <v>1129</v>
      </c>
      <c r="B18" s="1" t="s">
        <v>23</v>
      </c>
      <c r="C18" s="1" t="s">
        <v>24</v>
      </c>
      <c r="D18">
        <v>2</v>
      </c>
      <c r="E18" s="1" t="s">
        <v>16</v>
      </c>
      <c r="F18" s="1" t="s">
        <v>839</v>
      </c>
      <c r="G18">
        <v>0</v>
      </c>
      <c r="H18" s="1" t="s">
        <v>16</v>
      </c>
      <c r="I18">
        <v>100.30773807675601</v>
      </c>
      <c r="J18" s="1" t="s">
        <v>840</v>
      </c>
      <c r="K18">
        <v>0</v>
      </c>
      <c r="L18">
        <v>57.012203558533344</v>
      </c>
      <c r="M18">
        <v>3600.6819999999998</v>
      </c>
      <c r="N18">
        <v>43.295534518222674</v>
      </c>
    </row>
    <row r="19" spans="1:14" hidden="1" x14ac:dyDescent="0.3">
      <c r="A19" s="1" t="s">
        <v>1146</v>
      </c>
      <c r="B19" s="1" t="s">
        <v>23</v>
      </c>
      <c r="C19" s="1" t="s">
        <v>24</v>
      </c>
      <c r="D19">
        <v>3</v>
      </c>
      <c r="E19" s="1" t="s">
        <v>16</v>
      </c>
      <c r="F19" s="1" t="s">
        <v>839</v>
      </c>
      <c r="G19">
        <v>0</v>
      </c>
      <c r="H19" s="1" t="s">
        <v>16</v>
      </c>
      <c r="I19">
        <v>78.245554979230207</v>
      </c>
      <c r="J19" s="1" t="s">
        <v>840</v>
      </c>
      <c r="K19">
        <v>0</v>
      </c>
      <c r="L19">
        <v>35.396749590623038</v>
      </c>
      <c r="M19">
        <v>3601.335</v>
      </c>
      <c r="N19">
        <v>42.848805388607161</v>
      </c>
    </row>
    <row r="20" spans="1:14" hidden="1" x14ac:dyDescent="0.3">
      <c r="A20" s="1" t="s">
        <v>1159</v>
      </c>
      <c r="B20" s="1" t="s">
        <v>23</v>
      </c>
      <c r="C20" s="1" t="s">
        <v>24</v>
      </c>
      <c r="D20">
        <v>4</v>
      </c>
      <c r="E20" s="1" t="s">
        <v>16</v>
      </c>
      <c r="F20" s="1" t="s">
        <v>839</v>
      </c>
      <c r="G20">
        <v>0</v>
      </c>
      <c r="H20" s="1" t="s">
        <v>16</v>
      </c>
      <c r="I20">
        <v>93.919376436714018</v>
      </c>
      <c r="J20" s="1" t="s">
        <v>840</v>
      </c>
      <c r="K20">
        <v>0</v>
      </c>
      <c r="L20">
        <v>52.188380992556034</v>
      </c>
      <c r="M20">
        <v>3600.683</v>
      </c>
      <c r="N20">
        <v>41.730995444157983</v>
      </c>
    </row>
    <row r="21" spans="1:14" hidden="1" x14ac:dyDescent="0.3">
      <c r="A21" s="1" t="s">
        <v>1176</v>
      </c>
      <c r="B21" s="1" t="s">
        <v>23</v>
      </c>
      <c r="C21" s="1" t="s">
        <v>24</v>
      </c>
      <c r="D21">
        <v>5</v>
      </c>
      <c r="E21" s="1" t="s">
        <v>16</v>
      </c>
      <c r="F21" s="1" t="s">
        <v>1177</v>
      </c>
      <c r="G21">
        <v>0</v>
      </c>
      <c r="H21" s="1" t="s">
        <v>16</v>
      </c>
      <c r="I21">
        <v>75.01597542480863</v>
      </c>
      <c r="J21" s="1" t="s">
        <v>1178</v>
      </c>
      <c r="K21">
        <v>0</v>
      </c>
      <c r="L21">
        <v>35.872290738923667</v>
      </c>
      <c r="M21">
        <v>3600.0729999999999</v>
      </c>
      <c r="N21">
        <v>39.143684685884971</v>
      </c>
    </row>
    <row r="22" spans="1:14" hidden="1" x14ac:dyDescent="0.3">
      <c r="A22" s="1" t="s">
        <v>1274</v>
      </c>
      <c r="B22" s="1" t="s">
        <v>26</v>
      </c>
      <c r="C22" s="1" t="s">
        <v>27</v>
      </c>
      <c r="D22">
        <v>1</v>
      </c>
      <c r="E22" s="1" t="s">
        <v>16</v>
      </c>
      <c r="F22" s="1" t="s">
        <v>1275</v>
      </c>
      <c r="G22">
        <v>0</v>
      </c>
      <c r="H22" s="1" t="s">
        <v>16</v>
      </c>
      <c r="I22">
        <v>106.77069794663919</v>
      </c>
      <c r="J22" s="1" t="s">
        <v>1276</v>
      </c>
      <c r="K22">
        <v>0</v>
      </c>
      <c r="L22">
        <v>48.20585769588962</v>
      </c>
      <c r="M22">
        <v>3601.0279999999998</v>
      </c>
      <c r="N22">
        <v>58.564840250749562</v>
      </c>
    </row>
    <row r="23" spans="1:14" hidden="1" x14ac:dyDescent="0.3">
      <c r="A23" s="1" t="s">
        <v>1296</v>
      </c>
      <c r="B23" s="1" t="s">
        <v>26</v>
      </c>
      <c r="C23" s="1" t="s">
        <v>27</v>
      </c>
      <c r="D23">
        <v>2</v>
      </c>
      <c r="E23" s="1" t="s">
        <v>16</v>
      </c>
      <c r="F23" s="1" t="s">
        <v>1297</v>
      </c>
      <c r="G23">
        <v>0</v>
      </c>
      <c r="H23" s="1" t="s">
        <v>16</v>
      </c>
      <c r="I23">
        <v>114.42762641881706</v>
      </c>
      <c r="J23" s="1" t="s">
        <v>1298</v>
      </c>
      <c r="K23">
        <v>0</v>
      </c>
      <c r="L23">
        <v>54.248631778481339</v>
      </c>
      <c r="M23">
        <v>3600.672</v>
      </c>
      <c r="N23">
        <v>60.178994640335709</v>
      </c>
    </row>
    <row r="24" spans="1:14" hidden="1" x14ac:dyDescent="0.3">
      <c r="A24" s="1" t="s">
        <v>1313</v>
      </c>
      <c r="B24" s="1" t="s">
        <v>26</v>
      </c>
      <c r="C24" s="1" t="s">
        <v>27</v>
      </c>
      <c r="D24">
        <v>3</v>
      </c>
      <c r="E24" s="1" t="s">
        <v>16</v>
      </c>
      <c r="F24" s="1" t="s">
        <v>1314</v>
      </c>
      <c r="G24">
        <v>0</v>
      </c>
      <c r="H24" s="1" t="s">
        <v>16</v>
      </c>
      <c r="I24">
        <v>127.98365401957767</v>
      </c>
      <c r="J24" s="1" t="s">
        <v>1315</v>
      </c>
      <c r="K24">
        <v>0</v>
      </c>
      <c r="L24">
        <v>69.38257040205454</v>
      </c>
      <c r="M24">
        <v>3600.7310000000002</v>
      </c>
      <c r="N24">
        <v>58.60108361752313</v>
      </c>
    </row>
    <row r="25" spans="1:14" hidden="1" x14ac:dyDescent="0.3">
      <c r="A25" s="1" t="s">
        <v>1334</v>
      </c>
      <c r="B25" s="1" t="s">
        <v>26</v>
      </c>
      <c r="C25" s="1" t="s">
        <v>27</v>
      </c>
      <c r="D25">
        <v>4</v>
      </c>
      <c r="E25" s="1" t="s">
        <v>16</v>
      </c>
      <c r="F25" s="1" t="s">
        <v>1335</v>
      </c>
      <c r="G25">
        <v>0</v>
      </c>
      <c r="H25" s="1" t="s">
        <v>16</v>
      </c>
      <c r="I25">
        <v>103.87561486562967</v>
      </c>
      <c r="J25" s="1" t="s">
        <v>1336</v>
      </c>
      <c r="K25">
        <v>0</v>
      </c>
      <c r="L25">
        <v>37.311376410122847</v>
      </c>
      <c r="M25">
        <v>3601.0030000000002</v>
      </c>
      <c r="N25">
        <v>66.564238455506825</v>
      </c>
    </row>
    <row r="26" spans="1:14" hidden="1" x14ac:dyDescent="0.3">
      <c r="A26" s="1" t="s">
        <v>1356</v>
      </c>
      <c r="B26" s="1" t="s">
        <v>26</v>
      </c>
      <c r="C26" s="1" t="s">
        <v>27</v>
      </c>
      <c r="D26">
        <v>5</v>
      </c>
      <c r="E26" s="1" t="s">
        <v>16</v>
      </c>
      <c r="F26" s="1" t="s">
        <v>1357</v>
      </c>
      <c r="G26">
        <v>0</v>
      </c>
      <c r="H26" s="1" t="s">
        <v>16</v>
      </c>
      <c r="I26">
        <v>100.7450983018027</v>
      </c>
      <c r="J26" s="1" t="s">
        <v>1358</v>
      </c>
      <c r="K26">
        <v>0</v>
      </c>
      <c r="L26">
        <v>51.098342747962583</v>
      </c>
      <c r="M26">
        <v>3600.6660000000002</v>
      </c>
      <c r="N26">
        <v>49.646755553840116</v>
      </c>
    </row>
    <row r="27" spans="1:14" hidden="1" x14ac:dyDescent="0.3">
      <c r="A27" s="1" t="s">
        <v>832</v>
      </c>
      <c r="B27" s="1" t="s">
        <v>13</v>
      </c>
      <c r="C27" s="1" t="s">
        <v>14</v>
      </c>
      <c r="D27">
        <v>1</v>
      </c>
      <c r="E27" s="1" t="s">
        <v>15</v>
      </c>
      <c r="F27" s="1" t="s">
        <v>833</v>
      </c>
      <c r="G27">
        <v>0</v>
      </c>
      <c r="H27" s="1" t="s">
        <v>15</v>
      </c>
      <c r="I27">
        <v>16.901020957822439</v>
      </c>
      <c r="J27" s="1" t="s">
        <v>834</v>
      </c>
      <c r="K27">
        <v>0</v>
      </c>
      <c r="L27">
        <v>13.65585150405872</v>
      </c>
      <c r="M27">
        <v>3.7250000000000001</v>
      </c>
      <c r="N27">
        <v>3.2451694537637183</v>
      </c>
    </row>
    <row r="28" spans="1:14" hidden="1" x14ac:dyDescent="0.3">
      <c r="A28" s="1" t="s">
        <v>859</v>
      </c>
      <c r="B28" s="1" t="s">
        <v>13</v>
      </c>
      <c r="C28" s="1" t="s">
        <v>14</v>
      </c>
      <c r="D28">
        <v>2</v>
      </c>
      <c r="E28" s="1" t="s">
        <v>15</v>
      </c>
      <c r="F28" s="1" t="s">
        <v>833</v>
      </c>
      <c r="G28">
        <v>0</v>
      </c>
      <c r="H28" s="1" t="s">
        <v>15</v>
      </c>
      <c r="I28">
        <v>18.971950064393521</v>
      </c>
      <c r="J28" s="1" t="s">
        <v>834</v>
      </c>
      <c r="K28">
        <v>0</v>
      </c>
      <c r="L28">
        <v>15.191026988511776</v>
      </c>
      <c r="M28">
        <v>4.343</v>
      </c>
      <c r="N28">
        <v>3.7809230758817454</v>
      </c>
    </row>
    <row r="29" spans="1:14" hidden="1" x14ac:dyDescent="0.3">
      <c r="A29" s="1" t="s">
        <v>868</v>
      </c>
      <c r="B29" s="1" t="s">
        <v>13</v>
      </c>
      <c r="C29" s="1" t="s">
        <v>14</v>
      </c>
      <c r="D29">
        <v>3</v>
      </c>
      <c r="E29" s="1" t="s">
        <v>15</v>
      </c>
      <c r="F29" s="1" t="s">
        <v>833</v>
      </c>
      <c r="G29">
        <v>0</v>
      </c>
      <c r="H29" s="1" t="s">
        <v>15</v>
      </c>
      <c r="I29">
        <v>1.3297937619041584</v>
      </c>
      <c r="J29" s="1" t="s">
        <v>834</v>
      </c>
      <c r="K29">
        <v>0</v>
      </c>
      <c r="L29">
        <v>0</v>
      </c>
      <c r="M29">
        <v>1.7829999999999999</v>
      </c>
      <c r="N29">
        <v>1.3297937619041584</v>
      </c>
    </row>
    <row r="30" spans="1:14" hidden="1" x14ac:dyDescent="0.3">
      <c r="A30" s="1" t="s">
        <v>878</v>
      </c>
      <c r="B30" s="1" t="s">
        <v>13</v>
      </c>
      <c r="C30" s="1" t="s">
        <v>14</v>
      </c>
      <c r="D30">
        <v>4</v>
      </c>
      <c r="E30" s="1" t="s">
        <v>15</v>
      </c>
      <c r="F30" s="1" t="s">
        <v>833</v>
      </c>
      <c r="G30">
        <v>0</v>
      </c>
      <c r="H30" s="1" t="s">
        <v>15</v>
      </c>
      <c r="I30">
        <v>2.3105343292147218</v>
      </c>
      <c r="J30" s="1" t="s">
        <v>834</v>
      </c>
      <c r="K30">
        <v>0</v>
      </c>
      <c r="L30">
        <v>0</v>
      </c>
      <c r="M30">
        <v>3.6419999999999999</v>
      </c>
      <c r="N30">
        <v>2.3105343292147218</v>
      </c>
    </row>
    <row r="31" spans="1:14" hidden="1" x14ac:dyDescent="0.3">
      <c r="A31" s="1" t="s">
        <v>887</v>
      </c>
      <c r="B31" s="1" t="s">
        <v>13</v>
      </c>
      <c r="C31" s="1" t="s">
        <v>14</v>
      </c>
      <c r="D31">
        <v>5</v>
      </c>
      <c r="E31" s="1" t="s">
        <v>15</v>
      </c>
      <c r="F31" s="1" t="s">
        <v>833</v>
      </c>
      <c r="G31">
        <v>0</v>
      </c>
      <c r="H31" s="1" t="s">
        <v>15</v>
      </c>
      <c r="I31">
        <v>2.5877124926957351</v>
      </c>
      <c r="J31" s="1" t="s">
        <v>834</v>
      </c>
      <c r="K31">
        <v>0</v>
      </c>
      <c r="L31">
        <v>0</v>
      </c>
      <c r="M31">
        <v>3.5009999999999999</v>
      </c>
      <c r="N31">
        <v>2.5877124926957351</v>
      </c>
    </row>
    <row r="32" spans="1:14" hidden="1" x14ac:dyDescent="0.3">
      <c r="A32" s="1" t="s">
        <v>898</v>
      </c>
      <c r="B32" s="1" t="s">
        <v>18</v>
      </c>
      <c r="C32" s="1" t="s">
        <v>19</v>
      </c>
      <c r="D32">
        <v>1</v>
      </c>
      <c r="E32" s="1" t="s">
        <v>15</v>
      </c>
      <c r="F32" s="1" t="s">
        <v>833</v>
      </c>
      <c r="G32">
        <v>0</v>
      </c>
      <c r="H32" s="1" t="s">
        <v>15</v>
      </c>
      <c r="I32">
        <v>29.428926708468712</v>
      </c>
      <c r="J32" s="1" t="s">
        <v>834</v>
      </c>
      <c r="K32">
        <v>1.8184165194055294E-3</v>
      </c>
      <c r="L32">
        <v>15.017573519538377</v>
      </c>
      <c r="M32">
        <v>3603.3409999999999</v>
      </c>
      <c r="N32">
        <v>14.411353188930335</v>
      </c>
    </row>
    <row r="33" spans="1:14" hidden="1" x14ac:dyDescent="0.3">
      <c r="A33" s="1" t="s">
        <v>916</v>
      </c>
      <c r="B33" s="1" t="s">
        <v>18</v>
      </c>
      <c r="C33" s="1" t="s">
        <v>19</v>
      </c>
      <c r="D33">
        <v>3</v>
      </c>
      <c r="E33" s="1" t="s">
        <v>15</v>
      </c>
      <c r="F33" s="1" t="s">
        <v>833</v>
      </c>
      <c r="G33">
        <v>0</v>
      </c>
      <c r="H33" s="1" t="s">
        <v>15</v>
      </c>
      <c r="I33">
        <v>13.336855783569272</v>
      </c>
      <c r="J33" s="1" t="s">
        <v>834</v>
      </c>
      <c r="K33">
        <v>5.5477281302950291E-5</v>
      </c>
      <c r="L33">
        <v>0</v>
      </c>
      <c r="M33">
        <v>85.418999999999997</v>
      </c>
      <c r="N33">
        <v>13.336855783569272</v>
      </c>
    </row>
    <row r="34" spans="1:14" hidden="1" x14ac:dyDescent="0.3">
      <c r="A34" s="1" t="s">
        <v>926</v>
      </c>
      <c r="B34" s="1" t="s">
        <v>18</v>
      </c>
      <c r="C34" s="1" t="s">
        <v>19</v>
      </c>
      <c r="D34">
        <v>4</v>
      </c>
      <c r="E34" s="1" t="s">
        <v>15</v>
      </c>
      <c r="F34" s="1" t="s">
        <v>833</v>
      </c>
      <c r="G34">
        <v>0</v>
      </c>
      <c r="H34" s="1" t="s">
        <v>15</v>
      </c>
      <c r="I34">
        <v>11.737938493287286</v>
      </c>
      <c r="J34" s="1" t="s">
        <v>834</v>
      </c>
      <c r="K34">
        <v>5.7864463428212651E-4</v>
      </c>
      <c r="L34">
        <v>0</v>
      </c>
      <c r="M34">
        <v>3603.509</v>
      </c>
      <c r="N34">
        <v>11.737938493287286</v>
      </c>
    </row>
    <row r="35" spans="1:14" hidden="1" x14ac:dyDescent="0.3">
      <c r="A35" s="1" t="s">
        <v>937</v>
      </c>
      <c r="B35" s="1" t="s">
        <v>18</v>
      </c>
      <c r="C35" s="1" t="s">
        <v>19</v>
      </c>
      <c r="D35">
        <v>5</v>
      </c>
      <c r="E35" s="1" t="s">
        <v>15</v>
      </c>
      <c r="F35" s="1" t="s">
        <v>833</v>
      </c>
      <c r="G35">
        <v>0</v>
      </c>
      <c r="H35" s="1" t="s">
        <v>15</v>
      </c>
      <c r="I35">
        <v>24.960679959408971</v>
      </c>
      <c r="J35" s="1" t="s">
        <v>834</v>
      </c>
      <c r="K35">
        <v>1.2038555937128009E-3</v>
      </c>
      <c r="L35">
        <v>12.047395139822598</v>
      </c>
      <c r="M35">
        <v>3603.5390000000002</v>
      </c>
      <c r="N35">
        <v>12.913284819586375</v>
      </c>
    </row>
    <row r="36" spans="1:14" hidden="1" x14ac:dyDescent="0.3">
      <c r="A36" s="1" t="s">
        <v>1031</v>
      </c>
      <c r="B36" s="1" t="s">
        <v>21</v>
      </c>
      <c r="C36" s="1" t="s">
        <v>22</v>
      </c>
      <c r="D36">
        <v>1</v>
      </c>
      <c r="E36" s="1" t="s">
        <v>15</v>
      </c>
      <c r="F36" s="1" t="s">
        <v>833</v>
      </c>
      <c r="G36">
        <v>0</v>
      </c>
      <c r="H36" s="1" t="s">
        <v>15</v>
      </c>
      <c r="I36">
        <v>757.7782854916203</v>
      </c>
      <c r="J36" s="1" t="s">
        <v>834</v>
      </c>
      <c r="K36">
        <v>0.95749680591417496</v>
      </c>
      <c r="L36">
        <v>723.10016504999624</v>
      </c>
      <c r="M36">
        <v>3605.998</v>
      </c>
      <c r="N36">
        <v>34.678120441624024</v>
      </c>
    </row>
    <row r="37" spans="1:14" hidden="1" x14ac:dyDescent="0.3">
      <c r="A37" s="1" t="s">
        <v>1042</v>
      </c>
      <c r="B37" s="1" t="s">
        <v>21</v>
      </c>
      <c r="C37" s="1" t="s">
        <v>22</v>
      </c>
      <c r="D37">
        <v>2</v>
      </c>
      <c r="E37" s="1" t="s">
        <v>15</v>
      </c>
      <c r="F37" s="1" t="s">
        <v>833</v>
      </c>
      <c r="G37">
        <v>0</v>
      </c>
      <c r="H37" s="1" t="s">
        <v>15</v>
      </c>
      <c r="I37">
        <v>75.706992643847457</v>
      </c>
      <c r="J37" s="1" t="s">
        <v>834</v>
      </c>
      <c r="K37">
        <v>0.46670681407877579</v>
      </c>
      <c r="L37">
        <v>47.772713603298442</v>
      </c>
      <c r="M37">
        <v>3606.181</v>
      </c>
      <c r="N37">
        <v>27.934279040549022</v>
      </c>
    </row>
    <row r="38" spans="1:14" hidden="1" x14ac:dyDescent="0.3">
      <c r="A38" s="1" t="s">
        <v>1057</v>
      </c>
      <c r="B38" s="1" t="s">
        <v>21</v>
      </c>
      <c r="C38" s="1" t="s">
        <v>22</v>
      </c>
      <c r="D38">
        <v>3</v>
      </c>
      <c r="E38" s="1" t="s">
        <v>15</v>
      </c>
      <c r="F38" s="1" t="s">
        <v>833</v>
      </c>
      <c r="G38">
        <v>0</v>
      </c>
      <c r="H38" s="1" t="s">
        <v>15</v>
      </c>
      <c r="I38">
        <v>196.28164069189077</v>
      </c>
      <c r="J38" s="1" t="s">
        <v>834</v>
      </c>
      <c r="K38">
        <v>0.82793840369988114</v>
      </c>
      <c r="L38">
        <v>162.61821908054577</v>
      </c>
      <c r="M38">
        <v>3606.134</v>
      </c>
      <c r="N38">
        <v>33.663421611345008</v>
      </c>
    </row>
    <row r="39" spans="1:14" hidden="1" x14ac:dyDescent="0.3">
      <c r="A39" s="1" t="s">
        <v>1072</v>
      </c>
      <c r="B39" s="1" t="s">
        <v>21</v>
      </c>
      <c r="C39" s="1" t="s">
        <v>22</v>
      </c>
      <c r="D39">
        <v>4</v>
      </c>
      <c r="E39" s="1" t="s">
        <v>15</v>
      </c>
      <c r="F39" s="1" t="s">
        <v>833</v>
      </c>
      <c r="G39">
        <v>0</v>
      </c>
      <c r="H39" s="1" t="s">
        <v>15</v>
      </c>
      <c r="I39">
        <v>102.27372785179959</v>
      </c>
      <c r="J39" s="1" t="s">
        <v>834</v>
      </c>
      <c r="K39">
        <v>0.45966025549235789</v>
      </c>
      <c r="L39">
        <v>72.907119668963247</v>
      </c>
      <c r="M39">
        <v>3606.33</v>
      </c>
      <c r="N39">
        <v>29.366608182836345</v>
      </c>
    </row>
    <row r="40" spans="1:14" hidden="1" x14ac:dyDescent="0.3">
      <c r="A40" s="1" t="s">
        <v>1088</v>
      </c>
      <c r="B40" s="1" t="s">
        <v>21</v>
      </c>
      <c r="C40" s="1" t="s">
        <v>22</v>
      </c>
      <c r="D40">
        <v>5</v>
      </c>
      <c r="E40" s="1" t="s">
        <v>15</v>
      </c>
      <c r="F40" s="1" t="s">
        <v>833</v>
      </c>
      <c r="G40">
        <v>0</v>
      </c>
      <c r="H40" s="1" t="s">
        <v>15</v>
      </c>
      <c r="I40">
        <v>76.639957876279084</v>
      </c>
      <c r="J40" s="1" t="s">
        <v>834</v>
      </c>
      <c r="K40">
        <v>0.44796346960603667</v>
      </c>
      <c r="L40">
        <v>47.078646129277914</v>
      </c>
      <c r="M40">
        <v>3606.1909999999998</v>
      </c>
      <c r="N40">
        <v>29.561311747001177</v>
      </c>
    </row>
    <row r="41" spans="1:14" hidden="1" x14ac:dyDescent="0.3">
      <c r="A41" s="1" t="s">
        <v>1105</v>
      </c>
      <c r="B41" s="1" t="s">
        <v>23</v>
      </c>
      <c r="C41" s="1" t="s">
        <v>24</v>
      </c>
      <c r="D41">
        <v>1</v>
      </c>
      <c r="E41" s="1" t="s">
        <v>15</v>
      </c>
      <c r="F41" s="1" t="s">
        <v>833</v>
      </c>
      <c r="G41">
        <v>40</v>
      </c>
      <c r="H41" s="1" t="s">
        <v>15</v>
      </c>
      <c r="I41">
        <v>1268.3125823919468</v>
      </c>
      <c r="J41" s="1" t="s">
        <v>834</v>
      </c>
      <c r="K41">
        <v>0.99794449721187872</v>
      </c>
      <c r="L41">
        <v>1170.0818856875594</v>
      </c>
      <c r="M41">
        <v>3612.2449999999999</v>
      </c>
      <c r="N41">
        <v>58.23069670438732</v>
      </c>
    </row>
    <row r="42" spans="1:14" hidden="1" x14ac:dyDescent="0.3">
      <c r="A42" s="1" t="s">
        <v>1125</v>
      </c>
      <c r="B42" s="1" t="s">
        <v>23</v>
      </c>
      <c r="C42" s="1" t="s">
        <v>24</v>
      </c>
      <c r="D42">
        <v>2</v>
      </c>
      <c r="E42" s="1" t="s">
        <v>15</v>
      </c>
      <c r="F42" s="1" t="s">
        <v>833</v>
      </c>
      <c r="G42">
        <v>0</v>
      </c>
      <c r="H42" s="1" t="s">
        <v>15</v>
      </c>
      <c r="I42">
        <v>115.34071958266748</v>
      </c>
      <c r="J42" s="1" t="s">
        <v>834</v>
      </c>
      <c r="K42">
        <v>0.63448534419780356</v>
      </c>
      <c r="L42">
        <v>73.314334480553725</v>
      </c>
      <c r="M42">
        <v>3611.5259999999998</v>
      </c>
      <c r="N42">
        <v>42.02638510211375</v>
      </c>
    </row>
    <row r="43" spans="1:14" hidden="1" x14ac:dyDescent="0.3">
      <c r="A43" s="1" t="s">
        <v>1143</v>
      </c>
      <c r="B43" s="1" t="s">
        <v>23</v>
      </c>
      <c r="C43" s="1" t="s">
        <v>24</v>
      </c>
      <c r="D43">
        <v>3</v>
      </c>
      <c r="E43" s="1" t="s">
        <v>15</v>
      </c>
      <c r="F43" s="1" t="s">
        <v>833</v>
      </c>
      <c r="G43">
        <v>60</v>
      </c>
      <c r="H43" s="1" t="s">
        <v>15</v>
      </c>
      <c r="I43">
        <v>1548.781356830011</v>
      </c>
      <c r="J43" s="1" t="s">
        <v>834</v>
      </c>
      <c r="K43">
        <v>0.99792757334519766</v>
      </c>
      <c r="L43">
        <v>1431.3226067907387</v>
      </c>
      <c r="M43">
        <v>3611.6120000000001</v>
      </c>
      <c r="N43">
        <v>57.458750039272132</v>
      </c>
    </row>
    <row r="44" spans="1:14" hidden="1" x14ac:dyDescent="0.3">
      <c r="A44" s="1" t="s">
        <v>1156</v>
      </c>
      <c r="B44" s="1" t="s">
        <v>23</v>
      </c>
      <c r="C44" s="1" t="s">
        <v>24</v>
      </c>
      <c r="D44">
        <v>4</v>
      </c>
      <c r="E44" s="1" t="s">
        <v>15</v>
      </c>
      <c r="F44" s="1" t="s">
        <v>833</v>
      </c>
      <c r="G44">
        <v>40</v>
      </c>
      <c r="H44" s="1" t="s">
        <v>15</v>
      </c>
      <c r="I44">
        <v>1580.1472917498529</v>
      </c>
      <c r="J44" s="1" t="s">
        <v>834</v>
      </c>
      <c r="K44">
        <v>0.99801983287515117</v>
      </c>
      <c r="L44">
        <v>1484.1076452592388</v>
      </c>
      <c r="M44">
        <v>3611.6819999999998</v>
      </c>
      <c r="N44">
        <v>56.039646490614075</v>
      </c>
    </row>
    <row r="45" spans="1:14" hidden="1" x14ac:dyDescent="0.3">
      <c r="A45" s="1" t="s">
        <v>906</v>
      </c>
      <c r="B45" s="1" t="s">
        <v>18</v>
      </c>
      <c r="C45" s="1" t="s">
        <v>19</v>
      </c>
      <c r="D45">
        <v>2</v>
      </c>
      <c r="E45" s="1" t="s">
        <v>15</v>
      </c>
      <c r="F45" s="1" t="s">
        <v>907</v>
      </c>
      <c r="G45">
        <v>0</v>
      </c>
      <c r="H45" s="1" t="s">
        <v>15</v>
      </c>
      <c r="I45">
        <v>42.172664407895383</v>
      </c>
      <c r="J45" s="1" t="s">
        <v>834</v>
      </c>
      <c r="K45">
        <v>2.033439065996589E-3</v>
      </c>
      <c r="L45">
        <v>26.350507023312502</v>
      </c>
      <c r="M45">
        <v>3607.5329999999999</v>
      </c>
      <c r="N45">
        <v>15.822157384582878</v>
      </c>
    </row>
    <row r="46" spans="1:14" hidden="1" x14ac:dyDescent="0.3">
      <c r="A46" s="1" t="s">
        <v>1170</v>
      </c>
      <c r="B46" s="1" t="s">
        <v>23</v>
      </c>
      <c r="C46" s="1" t="s">
        <v>24</v>
      </c>
      <c r="D46">
        <v>5</v>
      </c>
      <c r="E46" s="1" t="s">
        <v>15</v>
      </c>
      <c r="F46" s="1" t="s">
        <v>1171</v>
      </c>
      <c r="G46">
        <v>0</v>
      </c>
      <c r="H46" s="1" t="s">
        <v>15</v>
      </c>
      <c r="I46">
        <v>504.62473384891865</v>
      </c>
      <c r="J46" s="1" t="s">
        <v>1172</v>
      </c>
      <c r="K46">
        <v>0.92287217877590733</v>
      </c>
      <c r="L46">
        <v>458.08378888138839</v>
      </c>
      <c r="M46">
        <v>3610.6129999999998</v>
      </c>
      <c r="N46">
        <v>46.540944967530244</v>
      </c>
    </row>
    <row r="47" spans="1:14" hidden="1" x14ac:dyDescent="0.3">
      <c r="A47" s="1" t="s">
        <v>1268</v>
      </c>
      <c r="B47" s="1" t="s">
        <v>26</v>
      </c>
      <c r="C47" s="1" t="s">
        <v>27</v>
      </c>
      <c r="D47">
        <v>1</v>
      </c>
      <c r="E47" s="1" t="s">
        <v>15</v>
      </c>
      <c r="F47" s="1" t="s">
        <v>1269</v>
      </c>
      <c r="G47">
        <v>60</v>
      </c>
      <c r="H47" s="1" t="s">
        <v>15</v>
      </c>
      <c r="I47">
        <v>1822.7275427168142</v>
      </c>
      <c r="J47" s="1" t="s">
        <v>1270</v>
      </c>
      <c r="K47">
        <v>0.99774116117499767</v>
      </c>
      <c r="L47">
        <v>1681.3144399291398</v>
      </c>
      <c r="M47">
        <v>3621.5549999999998</v>
      </c>
      <c r="N47">
        <v>81.413102787674362</v>
      </c>
    </row>
    <row r="48" spans="1:14" hidden="1" x14ac:dyDescent="0.3">
      <c r="A48" s="1" t="s">
        <v>1291</v>
      </c>
      <c r="B48" s="1" t="s">
        <v>26</v>
      </c>
      <c r="C48" s="1" t="s">
        <v>27</v>
      </c>
      <c r="D48">
        <v>2</v>
      </c>
      <c r="E48" s="1" t="s">
        <v>15</v>
      </c>
      <c r="F48" s="1" t="s">
        <v>1292</v>
      </c>
      <c r="G48">
        <v>100</v>
      </c>
      <c r="H48" s="1" t="s">
        <v>15</v>
      </c>
      <c r="I48">
        <v>1893.2432221714862</v>
      </c>
      <c r="J48" s="1" t="s">
        <v>1270</v>
      </c>
      <c r="K48">
        <v>0.99758227465057936</v>
      </c>
      <c r="L48">
        <v>1706.5117908194466</v>
      </c>
      <c r="M48">
        <v>3622.0709999999999</v>
      </c>
      <c r="N48">
        <v>86.731431352039522</v>
      </c>
    </row>
    <row r="49" spans="1:14" hidden="1" x14ac:dyDescent="0.3">
      <c r="A49" s="1" t="s">
        <v>1311</v>
      </c>
      <c r="B49" s="1" t="s">
        <v>26</v>
      </c>
      <c r="C49" s="1" t="s">
        <v>27</v>
      </c>
      <c r="D49">
        <v>3</v>
      </c>
      <c r="E49" s="1" t="s">
        <v>15</v>
      </c>
      <c r="F49" s="1" t="s">
        <v>1312</v>
      </c>
      <c r="G49">
        <v>60</v>
      </c>
      <c r="H49" s="1" t="s">
        <v>15</v>
      </c>
      <c r="I49">
        <v>1882.1420376180845</v>
      </c>
      <c r="J49" s="1" t="s">
        <v>1270</v>
      </c>
      <c r="K49">
        <v>0.99781995524767553</v>
      </c>
      <c r="L49">
        <v>1734.2464208667855</v>
      </c>
      <c r="M49">
        <v>3621.8049999999998</v>
      </c>
      <c r="N49">
        <v>87.895616751299002</v>
      </c>
    </row>
    <row r="50" spans="1:14" hidden="1" x14ac:dyDescent="0.3">
      <c r="A50" s="1" t="s">
        <v>1328</v>
      </c>
      <c r="B50" s="1" t="s">
        <v>26</v>
      </c>
      <c r="C50" s="1" t="s">
        <v>27</v>
      </c>
      <c r="D50">
        <v>4</v>
      </c>
      <c r="E50" s="1" t="s">
        <v>15</v>
      </c>
      <c r="F50" s="1" t="s">
        <v>1329</v>
      </c>
      <c r="G50">
        <v>80</v>
      </c>
      <c r="H50" s="1" t="s">
        <v>15</v>
      </c>
      <c r="I50">
        <v>1993.3432992536229</v>
      </c>
      <c r="J50" s="1" t="s">
        <v>1330</v>
      </c>
      <c r="K50">
        <v>0.99770378072572163</v>
      </c>
      <c r="L50">
        <v>1818.2829175942006</v>
      </c>
      <c r="M50">
        <v>3620.8679999999999</v>
      </c>
      <c r="N50">
        <v>95.060381659422262</v>
      </c>
    </row>
    <row r="51" spans="1:14" hidden="1" x14ac:dyDescent="0.3">
      <c r="A51" s="1" t="s">
        <v>1351</v>
      </c>
      <c r="B51" s="1" t="s">
        <v>26</v>
      </c>
      <c r="C51" s="1" t="s">
        <v>27</v>
      </c>
      <c r="D51">
        <v>5</v>
      </c>
      <c r="E51" s="1" t="s">
        <v>15</v>
      </c>
      <c r="F51" s="1" t="s">
        <v>1352</v>
      </c>
      <c r="G51">
        <v>20</v>
      </c>
      <c r="H51" s="1" t="s">
        <v>15</v>
      </c>
      <c r="I51">
        <v>1666.2102993345557</v>
      </c>
      <c r="J51" s="1" t="s">
        <v>1353</v>
      </c>
      <c r="K51">
        <v>0.99797000304905359</v>
      </c>
      <c r="L51">
        <v>1573.2108077243099</v>
      </c>
      <c r="M51">
        <v>3622.5419999999999</v>
      </c>
      <c r="N51">
        <v>72.999491610245755</v>
      </c>
    </row>
    <row r="52" spans="1:14" hidden="1" x14ac:dyDescent="0.3">
      <c r="A52" s="1" t="s">
        <v>970</v>
      </c>
      <c r="B52" s="1" t="s">
        <v>20</v>
      </c>
      <c r="C52" s="1" t="s">
        <v>19</v>
      </c>
      <c r="D52">
        <v>2</v>
      </c>
      <c r="E52" s="1" t="s">
        <v>16</v>
      </c>
      <c r="F52" s="1" t="s">
        <v>971</v>
      </c>
      <c r="G52">
        <v>0</v>
      </c>
      <c r="H52" s="1" t="s">
        <v>16</v>
      </c>
      <c r="I52">
        <v>190.66778459501356</v>
      </c>
      <c r="J52" s="1" t="s">
        <v>955</v>
      </c>
      <c r="K52">
        <v>0</v>
      </c>
      <c r="L52">
        <v>99.165112233264992</v>
      </c>
      <c r="M52">
        <v>3600.835</v>
      </c>
      <c r="N52">
        <v>91.502672361748566</v>
      </c>
    </row>
    <row r="53" spans="1:14" hidden="1" x14ac:dyDescent="0.3">
      <c r="A53" s="1" t="s">
        <v>987</v>
      </c>
      <c r="B53" s="1" t="s">
        <v>20</v>
      </c>
      <c r="C53" s="1" t="s">
        <v>19</v>
      </c>
      <c r="D53">
        <v>3</v>
      </c>
      <c r="E53" s="1" t="s">
        <v>16</v>
      </c>
      <c r="F53" s="1" t="s">
        <v>971</v>
      </c>
      <c r="G53">
        <v>0</v>
      </c>
      <c r="H53" s="1" t="s">
        <v>16</v>
      </c>
      <c r="I53">
        <v>83.081482484209687</v>
      </c>
      <c r="J53" s="1" t="s">
        <v>955</v>
      </c>
      <c r="K53">
        <v>0</v>
      </c>
      <c r="L53">
        <v>19.92851570238291</v>
      </c>
      <c r="M53">
        <v>3600.9140000000002</v>
      </c>
      <c r="N53">
        <v>63.152966781826777</v>
      </c>
    </row>
    <row r="54" spans="1:14" hidden="1" x14ac:dyDescent="0.3">
      <c r="A54" s="1" t="s">
        <v>1002</v>
      </c>
      <c r="B54" s="1" t="s">
        <v>20</v>
      </c>
      <c r="C54" s="1" t="s">
        <v>19</v>
      </c>
      <c r="D54">
        <v>4</v>
      </c>
      <c r="E54" s="1" t="s">
        <v>16</v>
      </c>
      <c r="F54" s="1" t="s">
        <v>971</v>
      </c>
      <c r="G54">
        <v>0</v>
      </c>
      <c r="H54" s="1" t="s">
        <v>16</v>
      </c>
      <c r="I54">
        <v>81.341055186417435</v>
      </c>
      <c r="J54" s="1" t="s">
        <v>955</v>
      </c>
      <c r="K54">
        <v>0</v>
      </c>
      <c r="L54">
        <v>15.194663018418055</v>
      </c>
      <c r="M54">
        <v>3602.65</v>
      </c>
      <c r="N54">
        <v>66.14639216799938</v>
      </c>
    </row>
    <row r="55" spans="1:14" hidden="1" x14ac:dyDescent="0.3">
      <c r="A55" s="1" t="s">
        <v>1018</v>
      </c>
      <c r="B55" s="1" t="s">
        <v>20</v>
      </c>
      <c r="C55" s="1" t="s">
        <v>19</v>
      </c>
      <c r="D55">
        <v>5</v>
      </c>
      <c r="E55" s="1" t="s">
        <v>16</v>
      </c>
      <c r="F55" s="1" t="s">
        <v>971</v>
      </c>
      <c r="G55">
        <v>0</v>
      </c>
      <c r="H55" s="1" t="s">
        <v>16</v>
      </c>
      <c r="I55">
        <v>186.25800090717601</v>
      </c>
      <c r="J55" s="1" t="s">
        <v>955</v>
      </c>
      <c r="K55">
        <v>0</v>
      </c>
      <c r="L55">
        <v>98.650424650320133</v>
      </c>
      <c r="M55">
        <v>3600.83</v>
      </c>
      <c r="N55">
        <v>87.607576256855879</v>
      </c>
    </row>
    <row r="56" spans="1:14" hidden="1" x14ac:dyDescent="0.3">
      <c r="A56" s="1" t="s">
        <v>1386</v>
      </c>
      <c r="B56" s="1" t="s">
        <v>28</v>
      </c>
      <c r="C56" s="1" t="s">
        <v>29</v>
      </c>
      <c r="D56">
        <v>2</v>
      </c>
      <c r="E56" s="1" t="s">
        <v>16</v>
      </c>
      <c r="F56" s="1" t="s">
        <v>971</v>
      </c>
      <c r="G56">
        <v>40</v>
      </c>
      <c r="H56" s="1" t="s">
        <v>16</v>
      </c>
      <c r="I56">
        <v>954.79702568051971</v>
      </c>
      <c r="J56" s="1" t="s">
        <v>955</v>
      </c>
      <c r="K56">
        <v>0</v>
      </c>
      <c r="L56">
        <v>476.96247472434311</v>
      </c>
      <c r="M56">
        <v>3601.9839999999999</v>
      </c>
      <c r="N56">
        <v>437.8345509561766</v>
      </c>
    </row>
    <row r="57" spans="1:14" hidden="1" x14ac:dyDescent="0.3">
      <c r="A57" s="1" t="s">
        <v>1399</v>
      </c>
      <c r="B57" s="1" t="s">
        <v>28</v>
      </c>
      <c r="C57" s="1" t="s">
        <v>29</v>
      </c>
      <c r="D57">
        <v>3</v>
      </c>
      <c r="E57" s="1" t="s">
        <v>16</v>
      </c>
      <c r="F57" s="1" t="s">
        <v>971</v>
      </c>
      <c r="G57">
        <v>20</v>
      </c>
      <c r="H57" s="1" t="s">
        <v>16</v>
      </c>
      <c r="I57">
        <v>912.995963967845</v>
      </c>
      <c r="J57" s="1" t="s">
        <v>955</v>
      </c>
      <c r="K57">
        <v>0</v>
      </c>
      <c r="L57">
        <v>459.55599734217566</v>
      </c>
      <c r="M57">
        <v>3601.9569999999999</v>
      </c>
      <c r="N57">
        <v>433.43996662566929</v>
      </c>
    </row>
    <row r="58" spans="1:14" hidden="1" x14ac:dyDescent="0.3">
      <c r="A58" s="1" t="s">
        <v>1412</v>
      </c>
      <c r="B58" s="1" t="s">
        <v>28</v>
      </c>
      <c r="C58" s="1" t="s">
        <v>29</v>
      </c>
      <c r="D58">
        <v>4</v>
      </c>
      <c r="E58" s="1" t="s">
        <v>16</v>
      </c>
      <c r="F58" s="1" t="s">
        <v>971</v>
      </c>
      <c r="G58">
        <v>20</v>
      </c>
      <c r="H58" s="1" t="s">
        <v>16</v>
      </c>
      <c r="I58">
        <v>794.34230744677393</v>
      </c>
      <c r="J58" s="1" t="s">
        <v>955</v>
      </c>
      <c r="K58">
        <v>0</v>
      </c>
      <c r="L58">
        <v>346.36048803107798</v>
      </c>
      <c r="M58">
        <v>3622.9659999999999</v>
      </c>
      <c r="N58">
        <v>427.9818194156959</v>
      </c>
    </row>
    <row r="59" spans="1:14" hidden="1" x14ac:dyDescent="0.3">
      <c r="A59" s="1" t="s">
        <v>1422</v>
      </c>
      <c r="B59" s="1" t="s">
        <v>28</v>
      </c>
      <c r="C59" s="1" t="s">
        <v>29</v>
      </c>
      <c r="D59">
        <v>5</v>
      </c>
      <c r="E59" s="1" t="s">
        <v>16</v>
      </c>
      <c r="F59" s="1" t="s">
        <v>971</v>
      </c>
      <c r="G59">
        <v>40</v>
      </c>
      <c r="H59" s="1" t="s">
        <v>16</v>
      </c>
      <c r="I59">
        <v>871.34680996401505</v>
      </c>
      <c r="J59" s="1" t="s">
        <v>955</v>
      </c>
      <c r="K59">
        <v>0</v>
      </c>
      <c r="L59">
        <v>409.20337439722755</v>
      </c>
      <c r="M59">
        <v>3601.8690000000001</v>
      </c>
      <c r="N59">
        <v>422.1434355667875</v>
      </c>
    </row>
    <row r="60" spans="1:14" hidden="1" x14ac:dyDescent="0.3">
      <c r="A60" s="1" t="s">
        <v>1434</v>
      </c>
      <c r="B60" s="1" t="s">
        <v>30</v>
      </c>
      <c r="C60" s="1" t="s">
        <v>31</v>
      </c>
      <c r="D60">
        <v>1</v>
      </c>
      <c r="E60" s="1" t="s">
        <v>16</v>
      </c>
      <c r="F60" s="1" t="s">
        <v>971</v>
      </c>
      <c r="G60">
        <v>40</v>
      </c>
      <c r="H60" s="1" t="s">
        <v>16</v>
      </c>
      <c r="I60">
        <v>1167.2397851761953</v>
      </c>
      <c r="J60" s="1" t="s">
        <v>955</v>
      </c>
      <c r="K60">
        <v>0</v>
      </c>
      <c r="L60">
        <v>447.3418182121448</v>
      </c>
      <c r="M60">
        <v>3602.2130000000002</v>
      </c>
      <c r="N60">
        <v>679.8979669640504</v>
      </c>
    </row>
    <row r="61" spans="1:14" hidden="1" x14ac:dyDescent="0.3">
      <c r="A61" s="1" t="s">
        <v>1444</v>
      </c>
      <c r="B61" s="1" t="s">
        <v>30</v>
      </c>
      <c r="C61" s="1" t="s">
        <v>31</v>
      </c>
      <c r="D61">
        <v>2</v>
      </c>
      <c r="E61" s="1" t="s">
        <v>16</v>
      </c>
      <c r="F61" s="1" t="s">
        <v>971</v>
      </c>
      <c r="G61">
        <v>40</v>
      </c>
      <c r="H61" s="1" t="s">
        <v>16</v>
      </c>
      <c r="I61">
        <v>1333.162866668787</v>
      </c>
      <c r="J61" s="1" t="s">
        <v>955</v>
      </c>
      <c r="K61">
        <v>0</v>
      </c>
      <c r="L61">
        <v>626.37180595914265</v>
      </c>
      <c r="M61">
        <v>3602.203</v>
      </c>
      <c r="N61">
        <v>666.7910607096444</v>
      </c>
    </row>
    <row r="62" spans="1:14" hidden="1" x14ac:dyDescent="0.3">
      <c r="A62" s="1" t="s">
        <v>1455</v>
      </c>
      <c r="B62" s="1" t="s">
        <v>30</v>
      </c>
      <c r="C62" s="1" t="s">
        <v>31</v>
      </c>
      <c r="D62">
        <v>3</v>
      </c>
      <c r="E62" s="1" t="s">
        <v>16</v>
      </c>
      <c r="F62" s="1" t="s">
        <v>971</v>
      </c>
      <c r="G62">
        <v>40</v>
      </c>
      <c r="H62" s="1" t="s">
        <v>16</v>
      </c>
      <c r="I62">
        <v>1211.9464923883738</v>
      </c>
      <c r="J62" s="1" t="s">
        <v>955</v>
      </c>
      <c r="K62">
        <v>0</v>
      </c>
      <c r="L62">
        <v>478.29943171444819</v>
      </c>
      <c r="M62">
        <v>3601.8850000000002</v>
      </c>
      <c r="N62">
        <v>693.64706067392569</v>
      </c>
    </row>
    <row r="63" spans="1:14" hidden="1" x14ac:dyDescent="0.3">
      <c r="A63" s="1" t="s">
        <v>953</v>
      </c>
      <c r="B63" s="1" t="s">
        <v>20</v>
      </c>
      <c r="C63" s="1" t="s">
        <v>19</v>
      </c>
      <c r="D63">
        <v>1</v>
      </c>
      <c r="E63" s="1" t="s">
        <v>16</v>
      </c>
      <c r="F63" s="1" t="s">
        <v>954</v>
      </c>
      <c r="G63">
        <v>0</v>
      </c>
      <c r="H63" s="1" t="s">
        <v>16</v>
      </c>
      <c r="I63">
        <v>217.34785800863037</v>
      </c>
      <c r="J63" s="1" t="s">
        <v>955</v>
      </c>
      <c r="K63">
        <v>0</v>
      </c>
      <c r="L63">
        <v>135.40554355636641</v>
      </c>
      <c r="M63">
        <v>3600.6550000000002</v>
      </c>
      <c r="N63">
        <v>81.942314452263957</v>
      </c>
    </row>
    <row r="64" spans="1:14" hidden="1" x14ac:dyDescent="0.3">
      <c r="A64" s="1" t="s">
        <v>1193</v>
      </c>
      <c r="B64" s="1" t="s">
        <v>25</v>
      </c>
      <c r="C64" s="1" t="s">
        <v>24</v>
      </c>
      <c r="D64">
        <v>1</v>
      </c>
      <c r="E64" s="1" t="s">
        <v>16</v>
      </c>
      <c r="F64" s="1" t="s">
        <v>954</v>
      </c>
      <c r="G64">
        <v>0</v>
      </c>
      <c r="H64" s="1" t="s">
        <v>16</v>
      </c>
      <c r="I64">
        <v>402.04101861878769</v>
      </c>
      <c r="J64" s="1" t="s">
        <v>955</v>
      </c>
      <c r="K64">
        <v>0</v>
      </c>
      <c r="L64">
        <v>166.06030599263664</v>
      </c>
      <c r="M64">
        <v>3601.4259999999999</v>
      </c>
      <c r="N64">
        <v>235.98071262615107</v>
      </c>
    </row>
    <row r="65" spans="1:14" hidden="1" x14ac:dyDescent="0.3">
      <c r="A65" s="1" t="s">
        <v>1206</v>
      </c>
      <c r="B65" s="1" t="s">
        <v>25</v>
      </c>
      <c r="C65" s="1" t="s">
        <v>24</v>
      </c>
      <c r="D65">
        <v>2</v>
      </c>
      <c r="E65" s="1" t="s">
        <v>16</v>
      </c>
      <c r="F65" s="1" t="s">
        <v>954</v>
      </c>
      <c r="G65">
        <v>20</v>
      </c>
      <c r="H65" s="1" t="s">
        <v>16</v>
      </c>
      <c r="I65">
        <v>563.76671403813191</v>
      </c>
      <c r="J65" s="1" t="s">
        <v>955</v>
      </c>
      <c r="K65">
        <v>0</v>
      </c>
      <c r="L65">
        <v>292.06149858414142</v>
      </c>
      <c r="M65">
        <v>3601.0830000000001</v>
      </c>
      <c r="N65">
        <v>251.70521545399049</v>
      </c>
    </row>
    <row r="66" spans="1:14" hidden="1" x14ac:dyDescent="0.3">
      <c r="A66" s="1" t="s">
        <v>1219</v>
      </c>
      <c r="B66" s="1" t="s">
        <v>25</v>
      </c>
      <c r="C66" s="1" t="s">
        <v>24</v>
      </c>
      <c r="D66">
        <v>3</v>
      </c>
      <c r="E66" s="1" t="s">
        <v>16</v>
      </c>
      <c r="F66" s="1" t="s">
        <v>954</v>
      </c>
      <c r="G66">
        <v>0</v>
      </c>
      <c r="H66" s="1" t="s">
        <v>16</v>
      </c>
      <c r="I66">
        <v>397.88666428300138</v>
      </c>
      <c r="J66" s="1" t="s">
        <v>955</v>
      </c>
      <c r="K66">
        <v>0</v>
      </c>
      <c r="L66">
        <v>181.96120260987703</v>
      </c>
      <c r="M66">
        <v>3601.165</v>
      </c>
      <c r="N66">
        <v>215.92546167312435</v>
      </c>
    </row>
    <row r="67" spans="1:14" hidden="1" x14ac:dyDescent="0.3">
      <c r="A67" s="1" t="s">
        <v>1254</v>
      </c>
      <c r="B67" s="1" t="s">
        <v>25</v>
      </c>
      <c r="C67" s="1" t="s">
        <v>24</v>
      </c>
      <c r="D67">
        <v>5</v>
      </c>
      <c r="E67" s="1" t="s">
        <v>16</v>
      </c>
      <c r="F67" s="1" t="s">
        <v>954</v>
      </c>
      <c r="G67">
        <v>20</v>
      </c>
      <c r="H67" s="1" t="s">
        <v>16</v>
      </c>
      <c r="I67">
        <v>531.84746283607137</v>
      </c>
      <c r="J67" s="1" t="s">
        <v>955</v>
      </c>
      <c r="K67">
        <v>0</v>
      </c>
      <c r="L67">
        <v>275.7975989092896</v>
      </c>
      <c r="M67">
        <v>3603.415</v>
      </c>
      <c r="N67">
        <v>236.04986392678174</v>
      </c>
    </row>
    <row r="68" spans="1:14" hidden="1" x14ac:dyDescent="0.3">
      <c r="A68" s="1" t="s">
        <v>1370</v>
      </c>
      <c r="B68" s="1" t="s">
        <v>28</v>
      </c>
      <c r="C68" s="1" t="s">
        <v>29</v>
      </c>
      <c r="D68">
        <v>1</v>
      </c>
      <c r="E68" s="1" t="s">
        <v>16</v>
      </c>
      <c r="F68" s="1" t="s">
        <v>954</v>
      </c>
      <c r="G68">
        <v>40</v>
      </c>
      <c r="H68" s="1" t="s">
        <v>16</v>
      </c>
      <c r="I68">
        <v>853.72711116854975</v>
      </c>
      <c r="J68" s="1" t="s">
        <v>955</v>
      </c>
      <c r="K68">
        <v>0</v>
      </c>
      <c r="L68">
        <v>360.91258820976583</v>
      </c>
      <c r="M68">
        <v>3601.768</v>
      </c>
      <c r="N68">
        <v>452.81452295878393</v>
      </c>
    </row>
    <row r="69" spans="1:14" hidden="1" x14ac:dyDescent="0.3">
      <c r="A69" s="1" t="s">
        <v>1468</v>
      </c>
      <c r="B69" s="1" t="s">
        <v>30</v>
      </c>
      <c r="C69" s="1" t="s">
        <v>31</v>
      </c>
      <c r="D69">
        <v>4</v>
      </c>
      <c r="E69" s="1" t="s">
        <v>16</v>
      </c>
      <c r="F69" s="1" t="s">
        <v>954</v>
      </c>
      <c r="G69">
        <v>40</v>
      </c>
      <c r="H69" s="1" t="s">
        <v>16</v>
      </c>
      <c r="I69">
        <v>1280.0558897037986</v>
      </c>
      <c r="J69" s="1" t="s">
        <v>955</v>
      </c>
      <c r="K69">
        <v>0</v>
      </c>
      <c r="L69">
        <v>516.86320505539243</v>
      </c>
      <c r="M69">
        <v>3602.489</v>
      </c>
      <c r="N69">
        <v>723.19268464840604</v>
      </c>
    </row>
    <row r="70" spans="1:14" hidden="1" x14ac:dyDescent="0.3">
      <c r="A70" s="1" t="s">
        <v>1480</v>
      </c>
      <c r="B70" s="1" t="s">
        <v>30</v>
      </c>
      <c r="C70" s="1" t="s">
        <v>31</v>
      </c>
      <c r="D70">
        <v>5</v>
      </c>
      <c r="E70" s="1" t="s">
        <v>16</v>
      </c>
      <c r="F70" s="1" t="s">
        <v>1481</v>
      </c>
      <c r="G70">
        <v>40</v>
      </c>
      <c r="H70" s="1" t="s">
        <v>16</v>
      </c>
      <c r="I70">
        <v>1522.8850298446728</v>
      </c>
      <c r="J70" s="1" t="s">
        <v>1482</v>
      </c>
      <c r="K70">
        <v>0</v>
      </c>
      <c r="L70">
        <v>805.77315693937271</v>
      </c>
      <c r="M70">
        <v>3601.9380000000001</v>
      </c>
      <c r="N70">
        <v>677.11187290529995</v>
      </c>
    </row>
    <row r="71" spans="1:14" hidden="1" x14ac:dyDescent="0.3">
      <c r="A71" s="1" t="s">
        <v>1496</v>
      </c>
      <c r="B71" s="1" t="s">
        <v>32</v>
      </c>
      <c r="C71" s="1" t="s">
        <v>33</v>
      </c>
      <c r="D71">
        <v>1</v>
      </c>
      <c r="E71" s="1" t="s">
        <v>16</v>
      </c>
      <c r="F71" s="1" t="s">
        <v>1497</v>
      </c>
      <c r="G71">
        <v>40</v>
      </c>
      <c r="H71" s="1" t="s">
        <v>16</v>
      </c>
      <c r="I71">
        <v>1802.4961017311689</v>
      </c>
      <c r="J71" s="1" t="s">
        <v>1498</v>
      </c>
      <c r="K71">
        <v>0</v>
      </c>
      <c r="L71">
        <v>805.57021912308119</v>
      </c>
      <c r="M71">
        <v>3623.0929999999998</v>
      </c>
      <c r="N71">
        <v>956.9258826080877</v>
      </c>
    </row>
    <row r="72" spans="1:14" hidden="1" x14ac:dyDescent="0.3">
      <c r="A72" s="1" t="s">
        <v>1512</v>
      </c>
      <c r="B72" s="1" t="s">
        <v>32</v>
      </c>
      <c r="C72" s="1" t="s">
        <v>33</v>
      </c>
      <c r="D72">
        <v>2</v>
      </c>
      <c r="E72" s="1" t="s">
        <v>16</v>
      </c>
      <c r="F72" s="1" t="s">
        <v>1513</v>
      </c>
      <c r="G72">
        <v>40</v>
      </c>
      <c r="H72" s="1" t="s">
        <v>16</v>
      </c>
      <c r="I72">
        <v>1857.8044009008752</v>
      </c>
      <c r="J72" s="1" t="s">
        <v>1498</v>
      </c>
      <c r="K72">
        <v>0</v>
      </c>
      <c r="L72">
        <v>804.25954652716109</v>
      </c>
      <c r="M72">
        <v>3601.7359999999999</v>
      </c>
      <c r="N72">
        <v>1013.5448543737141</v>
      </c>
    </row>
    <row r="73" spans="1:14" hidden="1" x14ac:dyDescent="0.3">
      <c r="A73" s="1" t="s">
        <v>1527</v>
      </c>
      <c r="B73" s="1" t="s">
        <v>32</v>
      </c>
      <c r="C73" s="1" t="s">
        <v>33</v>
      </c>
      <c r="D73">
        <v>3</v>
      </c>
      <c r="E73" s="1" t="s">
        <v>16</v>
      </c>
      <c r="F73" s="1" t="s">
        <v>1528</v>
      </c>
      <c r="G73">
        <v>40</v>
      </c>
      <c r="H73" s="1" t="s">
        <v>16</v>
      </c>
      <c r="I73">
        <v>1788.4893812347814</v>
      </c>
      <c r="J73" s="1" t="s">
        <v>1498</v>
      </c>
      <c r="K73">
        <v>0</v>
      </c>
      <c r="L73">
        <v>777.41856101165877</v>
      </c>
      <c r="M73">
        <v>3601.27</v>
      </c>
      <c r="N73">
        <v>971.0708202231225</v>
      </c>
    </row>
    <row r="74" spans="1:14" hidden="1" x14ac:dyDescent="0.3">
      <c r="A74" s="1" t="s">
        <v>1542</v>
      </c>
      <c r="B74" s="1" t="s">
        <v>32</v>
      </c>
      <c r="C74" s="1" t="s">
        <v>33</v>
      </c>
      <c r="D74">
        <v>4</v>
      </c>
      <c r="E74" s="1" t="s">
        <v>16</v>
      </c>
      <c r="F74" s="1" t="s">
        <v>1543</v>
      </c>
      <c r="G74">
        <v>40</v>
      </c>
      <c r="H74" s="1" t="s">
        <v>16</v>
      </c>
      <c r="I74">
        <v>1765.8259664797706</v>
      </c>
      <c r="J74" s="1" t="s">
        <v>1498</v>
      </c>
      <c r="K74">
        <v>0</v>
      </c>
      <c r="L74">
        <v>759.22053313871106</v>
      </c>
      <c r="M74">
        <v>3601.3629999999998</v>
      </c>
      <c r="N74">
        <v>966.60543334105944</v>
      </c>
    </row>
    <row r="75" spans="1:14" hidden="1" x14ac:dyDescent="0.3">
      <c r="A75" s="1" t="s">
        <v>1554</v>
      </c>
      <c r="B75" s="1" t="s">
        <v>32</v>
      </c>
      <c r="C75" s="1" t="s">
        <v>33</v>
      </c>
      <c r="D75">
        <v>5</v>
      </c>
      <c r="E75" s="1" t="s">
        <v>16</v>
      </c>
      <c r="F75" s="1" t="s">
        <v>1555</v>
      </c>
      <c r="G75">
        <v>40</v>
      </c>
      <c r="H75" s="1" t="s">
        <v>16</v>
      </c>
      <c r="I75">
        <v>1788.72699739529</v>
      </c>
      <c r="J75" s="1" t="s">
        <v>1556</v>
      </c>
      <c r="K75">
        <v>0</v>
      </c>
      <c r="L75">
        <v>788.92946928274557</v>
      </c>
      <c r="M75">
        <v>3601.2939999999999</v>
      </c>
      <c r="N75">
        <v>959.79752811254446</v>
      </c>
    </row>
    <row r="76" spans="1:14" x14ac:dyDescent="0.3">
      <c r="A76" s="1" t="s">
        <v>947</v>
      </c>
      <c r="B76" s="1" t="s">
        <v>20</v>
      </c>
      <c r="C76" s="1" t="s">
        <v>19</v>
      </c>
      <c r="D76">
        <v>1</v>
      </c>
      <c r="E76" s="1" t="s">
        <v>15</v>
      </c>
      <c r="F76" s="1" t="s">
        <v>948</v>
      </c>
      <c r="G76">
        <v>120</v>
      </c>
      <c r="H76" s="1" t="s">
        <v>15</v>
      </c>
      <c r="I76">
        <v>3705.2912475688354</v>
      </c>
      <c r="J76" s="1" t="s">
        <v>949</v>
      </c>
      <c r="K76">
        <v>0.99226272131806137</v>
      </c>
      <c r="L76">
        <v>3491.8577629913616</v>
      </c>
      <c r="M76">
        <v>3616.9960000000001</v>
      </c>
      <c r="N76">
        <v>93.433484577473834</v>
      </c>
    </row>
    <row r="77" spans="1:14" x14ac:dyDescent="0.3">
      <c r="A77" s="1" t="s">
        <v>969</v>
      </c>
      <c r="B77" s="1" t="s">
        <v>20</v>
      </c>
      <c r="C77" s="1" t="s">
        <v>19</v>
      </c>
      <c r="D77">
        <v>2</v>
      </c>
      <c r="E77" s="1" t="s">
        <v>15</v>
      </c>
      <c r="F77" s="1" t="s">
        <v>948</v>
      </c>
      <c r="G77">
        <v>100</v>
      </c>
      <c r="H77" s="1" t="s">
        <v>15</v>
      </c>
      <c r="I77">
        <v>3599.3782418120895</v>
      </c>
      <c r="J77" s="1" t="s">
        <v>949</v>
      </c>
      <c r="K77">
        <v>0.99161725140684864</v>
      </c>
      <c r="L77">
        <v>3395.9431768648533</v>
      </c>
      <c r="M77">
        <v>3617.0070000000001</v>
      </c>
      <c r="N77">
        <v>103.43506494723606</v>
      </c>
    </row>
    <row r="78" spans="1:14" x14ac:dyDescent="0.3">
      <c r="A78" s="1" t="s">
        <v>983</v>
      </c>
      <c r="B78" s="1" t="s">
        <v>20</v>
      </c>
      <c r="C78" s="1" t="s">
        <v>19</v>
      </c>
      <c r="D78">
        <v>3</v>
      </c>
      <c r="E78" s="1" t="s">
        <v>15</v>
      </c>
      <c r="F78" s="1" t="s">
        <v>948</v>
      </c>
      <c r="G78">
        <v>120</v>
      </c>
      <c r="H78" s="1" t="s">
        <v>15</v>
      </c>
      <c r="I78">
        <v>3638.8613822438501</v>
      </c>
      <c r="J78" s="1" t="s">
        <v>949</v>
      </c>
      <c r="K78">
        <v>0.99447874524696855</v>
      </c>
      <c r="L78">
        <v>3445.2510416324444</v>
      </c>
      <c r="M78">
        <v>3617.0129999999999</v>
      </c>
      <c r="N78">
        <v>73.610340611405533</v>
      </c>
    </row>
    <row r="79" spans="1:14" x14ac:dyDescent="0.3">
      <c r="A79" s="1" t="s">
        <v>999</v>
      </c>
      <c r="B79" s="1" t="s">
        <v>20</v>
      </c>
      <c r="C79" s="1" t="s">
        <v>19</v>
      </c>
      <c r="D79">
        <v>4</v>
      </c>
      <c r="E79" s="1" t="s">
        <v>15</v>
      </c>
      <c r="F79" s="1" t="s">
        <v>948</v>
      </c>
      <c r="G79">
        <v>0</v>
      </c>
      <c r="H79" s="1" t="s">
        <v>15</v>
      </c>
      <c r="I79">
        <v>98.110435041215368</v>
      </c>
      <c r="J79" s="1" t="s">
        <v>949</v>
      </c>
      <c r="K79">
        <v>0.27297166774421278</v>
      </c>
      <c r="L79">
        <v>35.057807506015578</v>
      </c>
      <c r="M79">
        <v>3617.0230000000001</v>
      </c>
      <c r="N79">
        <v>63.052627535199797</v>
      </c>
    </row>
    <row r="80" spans="1:14" x14ac:dyDescent="0.3">
      <c r="A80" s="1" t="s">
        <v>1014</v>
      </c>
      <c r="B80" s="1" t="s">
        <v>20</v>
      </c>
      <c r="C80" s="1" t="s">
        <v>19</v>
      </c>
      <c r="D80">
        <v>5</v>
      </c>
      <c r="E80" s="1" t="s">
        <v>15</v>
      </c>
      <c r="F80" s="1" t="s">
        <v>948</v>
      </c>
      <c r="G80">
        <v>80</v>
      </c>
      <c r="H80" s="1" t="s">
        <v>15</v>
      </c>
      <c r="I80">
        <v>3464.9850503842135</v>
      </c>
      <c r="J80" s="1" t="s">
        <v>949</v>
      </c>
      <c r="K80">
        <v>0.99209159619626663</v>
      </c>
      <c r="L80">
        <v>3284.9878792285463</v>
      </c>
      <c r="M80">
        <v>3617.0010000000002</v>
      </c>
      <c r="N80">
        <v>99.997171155667488</v>
      </c>
    </row>
    <row r="81" spans="1:14" hidden="1" x14ac:dyDescent="0.3">
      <c r="A81" s="1" t="s">
        <v>847</v>
      </c>
      <c r="B81" s="1" t="s">
        <v>13</v>
      </c>
      <c r="C81" s="1" t="s">
        <v>14</v>
      </c>
      <c r="D81">
        <v>1</v>
      </c>
      <c r="E81" s="1" t="s">
        <v>17</v>
      </c>
      <c r="F81" s="1" t="s">
        <v>848</v>
      </c>
      <c r="G81">
        <v>0</v>
      </c>
      <c r="H81" s="1" t="s">
        <v>17</v>
      </c>
      <c r="I81">
        <v>16.901020957822439</v>
      </c>
      <c r="J81" s="1" t="s">
        <v>849</v>
      </c>
      <c r="K81">
        <v>0</v>
      </c>
      <c r="L81">
        <v>13.65585150405872</v>
      </c>
      <c r="M81">
        <v>2169.6840000000002</v>
      </c>
      <c r="N81">
        <v>3.2451694537637183</v>
      </c>
    </row>
    <row r="82" spans="1:14" hidden="1" x14ac:dyDescent="0.3">
      <c r="A82" s="1" t="s">
        <v>864</v>
      </c>
      <c r="B82" s="1" t="s">
        <v>13</v>
      </c>
      <c r="C82" s="1" t="s">
        <v>14</v>
      </c>
      <c r="D82">
        <v>2</v>
      </c>
      <c r="E82" s="1" t="s">
        <v>17</v>
      </c>
      <c r="F82" s="1" t="s">
        <v>848</v>
      </c>
      <c r="G82">
        <v>0</v>
      </c>
      <c r="H82" s="1" t="s">
        <v>17</v>
      </c>
      <c r="I82">
        <v>18.971950064393521</v>
      </c>
      <c r="J82" s="1" t="s">
        <v>849</v>
      </c>
      <c r="K82">
        <v>0</v>
      </c>
      <c r="L82">
        <v>15.191026988511776</v>
      </c>
      <c r="M82">
        <v>3600.3679999999999</v>
      </c>
      <c r="N82">
        <v>3.7809230758817449</v>
      </c>
    </row>
    <row r="83" spans="1:14" hidden="1" x14ac:dyDescent="0.3">
      <c r="A83" s="1" t="s">
        <v>874</v>
      </c>
      <c r="B83" s="1" t="s">
        <v>13</v>
      </c>
      <c r="C83" s="1" t="s">
        <v>14</v>
      </c>
      <c r="D83">
        <v>3</v>
      </c>
      <c r="E83" s="1" t="s">
        <v>17</v>
      </c>
      <c r="F83" s="1" t="s">
        <v>848</v>
      </c>
      <c r="G83">
        <v>0</v>
      </c>
      <c r="H83" s="1" t="s">
        <v>17</v>
      </c>
      <c r="I83">
        <v>1.3297937619041584</v>
      </c>
      <c r="J83" s="1" t="s">
        <v>849</v>
      </c>
      <c r="K83">
        <v>0</v>
      </c>
      <c r="L83">
        <v>0</v>
      </c>
      <c r="M83">
        <v>1048.7159999999999</v>
      </c>
      <c r="N83">
        <v>1.3297937619041584</v>
      </c>
    </row>
    <row r="84" spans="1:14" hidden="1" x14ac:dyDescent="0.3">
      <c r="A84" s="1" t="s">
        <v>883</v>
      </c>
      <c r="B84" s="1" t="s">
        <v>13</v>
      </c>
      <c r="C84" s="1" t="s">
        <v>14</v>
      </c>
      <c r="D84">
        <v>4</v>
      </c>
      <c r="E84" s="1" t="s">
        <v>17</v>
      </c>
      <c r="F84" s="1" t="s">
        <v>848</v>
      </c>
      <c r="G84">
        <v>0</v>
      </c>
      <c r="H84" s="1" t="s">
        <v>17</v>
      </c>
      <c r="I84">
        <v>2.3105343292147218</v>
      </c>
      <c r="J84" s="1" t="s">
        <v>849</v>
      </c>
      <c r="K84">
        <v>0</v>
      </c>
      <c r="L84">
        <v>0</v>
      </c>
      <c r="M84">
        <v>1853.307</v>
      </c>
      <c r="N84">
        <v>2.3105343292147218</v>
      </c>
    </row>
    <row r="85" spans="1:14" hidden="1" x14ac:dyDescent="0.3">
      <c r="A85" s="1" t="s">
        <v>892</v>
      </c>
      <c r="B85" s="1" t="s">
        <v>13</v>
      </c>
      <c r="C85" s="1" t="s">
        <v>14</v>
      </c>
      <c r="D85">
        <v>5</v>
      </c>
      <c r="E85" s="1" t="s">
        <v>17</v>
      </c>
      <c r="F85" s="1" t="s">
        <v>848</v>
      </c>
      <c r="G85">
        <v>0</v>
      </c>
      <c r="H85" s="1" t="s">
        <v>17</v>
      </c>
      <c r="I85">
        <v>2.5877124926957356</v>
      </c>
      <c r="J85" s="1" t="s">
        <v>849</v>
      </c>
      <c r="K85">
        <v>0</v>
      </c>
      <c r="L85">
        <v>0</v>
      </c>
      <c r="M85">
        <v>2408.4850000000001</v>
      </c>
      <c r="N85">
        <v>2.5877124926957356</v>
      </c>
    </row>
    <row r="86" spans="1:14" hidden="1" x14ac:dyDescent="0.3">
      <c r="A86" s="1" t="s">
        <v>903</v>
      </c>
      <c r="B86" s="1" t="s">
        <v>18</v>
      </c>
      <c r="C86" s="1" t="s">
        <v>19</v>
      </c>
      <c r="D86">
        <v>1</v>
      </c>
      <c r="E86" s="1" t="s">
        <v>17</v>
      </c>
      <c r="F86" s="1" t="s">
        <v>848</v>
      </c>
      <c r="G86">
        <v>0</v>
      </c>
      <c r="H86" s="1" t="s">
        <v>17</v>
      </c>
      <c r="I86">
        <v>29.501053563568497</v>
      </c>
      <c r="J86" s="1" t="s">
        <v>849</v>
      </c>
      <c r="K86">
        <v>0</v>
      </c>
      <c r="L86">
        <v>15.017573519538377</v>
      </c>
      <c r="M86">
        <v>3600.5250000000001</v>
      </c>
      <c r="N86">
        <v>14.483480044030122</v>
      </c>
    </row>
    <row r="87" spans="1:14" hidden="1" x14ac:dyDescent="0.3">
      <c r="A87" s="1" t="s">
        <v>912</v>
      </c>
      <c r="B87" s="1" t="s">
        <v>18</v>
      </c>
      <c r="C87" s="1" t="s">
        <v>19</v>
      </c>
      <c r="D87">
        <v>2</v>
      </c>
      <c r="E87" s="1" t="s">
        <v>17</v>
      </c>
      <c r="F87" s="1" t="s">
        <v>848</v>
      </c>
      <c r="G87">
        <v>0</v>
      </c>
      <c r="H87" s="1" t="s">
        <v>17</v>
      </c>
      <c r="I87">
        <v>47.13560586105897</v>
      </c>
      <c r="J87" s="1" t="s">
        <v>849</v>
      </c>
      <c r="K87">
        <v>0</v>
      </c>
      <c r="L87">
        <v>31.323137896476709</v>
      </c>
      <c r="M87">
        <v>3600.482</v>
      </c>
      <c r="N87">
        <v>15.812467964582261</v>
      </c>
    </row>
    <row r="88" spans="1:14" hidden="1" x14ac:dyDescent="0.3">
      <c r="A88" s="1" t="s">
        <v>921</v>
      </c>
      <c r="B88" s="1" t="s">
        <v>18</v>
      </c>
      <c r="C88" s="1" t="s">
        <v>19</v>
      </c>
      <c r="D88">
        <v>3</v>
      </c>
      <c r="E88" s="1" t="s">
        <v>17</v>
      </c>
      <c r="F88" s="1" t="s">
        <v>848</v>
      </c>
      <c r="G88">
        <v>0</v>
      </c>
      <c r="H88" s="1" t="s">
        <v>17</v>
      </c>
      <c r="I88">
        <v>13.400670241152461</v>
      </c>
      <c r="J88" s="1" t="s">
        <v>849</v>
      </c>
      <c r="K88">
        <v>0</v>
      </c>
      <c r="L88">
        <v>0</v>
      </c>
      <c r="M88">
        <v>3601.0329999999999</v>
      </c>
      <c r="N88">
        <v>13.400670241152461</v>
      </c>
    </row>
    <row r="89" spans="1:14" hidden="1" x14ac:dyDescent="0.3">
      <c r="A89" s="1" t="s">
        <v>931</v>
      </c>
      <c r="B89" s="1" t="s">
        <v>18</v>
      </c>
      <c r="C89" s="1" t="s">
        <v>19</v>
      </c>
      <c r="D89">
        <v>4</v>
      </c>
      <c r="E89" s="1" t="s">
        <v>17</v>
      </c>
      <c r="F89" s="1" t="s">
        <v>848</v>
      </c>
      <c r="G89">
        <v>0</v>
      </c>
      <c r="H89" s="1" t="s">
        <v>17</v>
      </c>
      <c r="I89">
        <v>11.83904853156241</v>
      </c>
      <c r="J89" s="1" t="s">
        <v>849</v>
      </c>
      <c r="K89">
        <v>0</v>
      </c>
      <c r="L89">
        <v>0</v>
      </c>
      <c r="M89">
        <v>3600.759</v>
      </c>
      <c r="N89">
        <v>11.83904853156241</v>
      </c>
    </row>
    <row r="90" spans="1:14" hidden="1" x14ac:dyDescent="0.3">
      <c r="A90" s="1" t="s">
        <v>942</v>
      </c>
      <c r="B90" s="1" t="s">
        <v>18</v>
      </c>
      <c r="C90" s="1" t="s">
        <v>19</v>
      </c>
      <c r="D90">
        <v>5</v>
      </c>
      <c r="E90" s="1" t="s">
        <v>17</v>
      </c>
      <c r="F90" s="1" t="s">
        <v>848</v>
      </c>
      <c r="G90">
        <v>0</v>
      </c>
      <c r="H90" s="1" t="s">
        <v>17</v>
      </c>
      <c r="I90">
        <v>24.995401496976367</v>
      </c>
      <c r="J90" s="1" t="s">
        <v>849</v>
      </c>
      <c r="K90">
        <v>0</v>
      </c>
      <c r="L90">
        <v>12.047395139822598</v>
      </c>
      <c r="M90">
        <v>3600.6619999999998</v>
      </c>
      <c r="N90">
        <v>12.948006357153769</v>
      </c>
    </row>
    <row r="91" spans="1:14" hidden="1" x14ac:dyDescent="0.3">
      <c r="A91" s="1" t="s">
        <v>1038</v>
      </c>
      <c r="B91" s="1" t="s">
        <v>21</v>
      </c>
      <c r="C91" s="1" t="s">
        <v>22</v>
      </c>
      <c r="D91">
        <v>1</v>
      </c>
      <c r="E91" s="1" t="s">
        <v>17</v>
      </c>
      <c r="F91" s="1" t="s">
        <v>848</v>
      </c>
      <c r="G91">
        <v>0</v>
      </c>
      <c r="H91" s="1" t="s">
        <v>17</v>
      </c>
      <c r="I91">
        <v>64.896394482019346</v>
      </c>
      <c r="J91" s="1" t="s">
        <v>849</v>
      </c>
      <c r="K91">
        <v>0</v>
      </c>
      <c r="L91">
        <v>34.931874101451825</v>
      </c>
      <c r="M91">
        <v>3600.6089999999999</v>
      </c>
      <c r="N91">
        <v>29.964520380567521</v>
      </c>
    </row>
    <row r="92" spans="1:14" hidden="1" x14ac:dyDescent="0.3">
      <c r="A92" s="1" t="s">
        <v>1051</v>
      </c>
      <c r="B92" s="1" t="s">
        <v>21</v>
      </c>
      <c r="C92" s="1" t="s">
        <v>22</v>
      </c>
      <c r="D92">
        <v>2</v>
      </c>
      <c r="E92" s="1" t="s">
        <v>17</v>
      </c>
      <c r="F92" s="1" t="s">
        <v>848</v>
      </c>
      <c r="G92">
        <v>0</v>
      </c>
      <c r="H92" s="1" t="s">
        <v>17</v>
      </c>
      <c r="I92">
        <v>70.9936697347391</v>
      </c>
      <c r="J92" s="1" t="s">
        <v>849</v>
      </c>
      <c r="K92">
        <v>0</v>
      </c>
      <c r="L92">
        <v>42.841356264415822</v>
      </c>
      <c r="M92">
        <v>3600.9859999999999</v>
      </c>
      <c r="N92">
        <v>28.152313470323282</v>
      </c>
    </row>
    <row r="93" spans="1:14" hidden="1" x14ac:dyDescent="0.3">
      <c r="A93" s="1" t="s">
        <v>1065</v>
      </c>
      <c r="B93" s="1" t="s">
        <v>21</v>
      </c>
      <c r="C93" s="1" t="s">
        <v>22</v>
      </c>
      <c r="D93">
        <v>3</v>
      </c>
      <c r="E93" s="1" t="s">
        <v>17</v>
      </c>
      <c r="F93" s="1" t="s">
        <v>848</v>
      </c>
      <c r="G93">
        <v>0</v>
      </c>
      <c r="H93" s="1" t="s">
        <v>17</v>
      </c>
      <c r="I93">
        <v>69.676476474170087</v>
      </c>
      <c r="J93" s="1" t="s">
        <v>849</v>
      </c>
      <c r="K93">
        <v>0</v>
      </c>
      <c r="L93">
        <v>35.958932693212375</v>
      </c>
      <c r="M93">
        <v>3600.837</v>
      </c>
      <c r="N93">
        <v>33.717543780957712</v>
      </c>
    </row>
    <row r="94" spans="1:14" hidden="1" x14ac:dyDescent="0.3">
      <c r="A94" s="1" t="s">
        <v>1081</v>
      </c>
      <c r="B94" s="1" t="s">
        <v>21</v>
      </c>
      <c r="C94" s="1" t="s">
        <v>22</v>
      </c>
      <c r="D94">
        <v>4</v>
      </c>
      <c r="E94" s="1" t="s">
        <v>17</v>
      </c>
      <c r="F94" s="1" t="s">
        <v>848</v>
      </c>
      <c r="G94">
        <v>0</v>
      </c>
      <c r="H94" s="1" t="s">
        <v>17</v>
      </c>
      <c r="I94">
        <v>78.293960061412719</v>
      </c>
      <c r="J94" s="1" t="s">
        <v>849</v>
      </c>
      <c r="K94">
        <v>0</v>
      </c>
      <c r="L94">
        <v>49.110202057621464</v>
      </c>
      <c r="M94">
        <v>3600.8359999999998</v>
      </c>
      <c r="N94">
        <v>29.183758003791255</v>
      </c>
    </row>
    <row r="95" spans="1:14" hidden="1" x14ac:dyDescent="0.3">
      <c r="A95" s="1" t="s">
        <v>1097</v>
      </c>
      <c r="B95" s="1" t="s">
        <v>21</v>
      </c>
      <c r="C95" s="1" t="s">
        <v>22</v>
      </c>
      <c r="D95">
        <v>5</v>
      </c>
      <c r="E95" s="1" t="s">
        <v>17</v>
      </c>
      <c r="F95" s="1" t="s">
        <v>848</v>
      </c>
      <c r="G95">
        <v>0</v>
      </c>
      <c r="H95" s="1" t="s">
        <v>17</v>
      </c>
      <c r="I95">
        <v>62.510251854889006</v>
      </c>
      <c r="J95" s="1" t="s">
        <v>849</v>
      </c>
      <c r="K95">
        <v>0</v>
      </c>
      <c r="L95">
        <v>32.763176297836551</v>
      </c>
      <c r="M95">
        <v>3600.64</v>
      </c>
      <c r="N95">
        <v>29.747075557052455</v>
      </c>
    </row>
    <row r="96" spans="1:14" hidden="1" x14ac:dyDescent="0.3">
      <c r="A96" s="1" t="s">
        <v>1116</v>
      </c>
      <c r="B96" s="1" t="s">
        <v>23</v>
      </c>
      <c r="C96" s="1" t="s">
        <v>24</v>
      </c>
      <c r="D96">
        <v>1</v>
      </c>
      <c r="E96" s="1" t="s">
        <v>17</v>
      </c>
      <c r="F96" s="1" t="s">
        <v>848</v>
      </c>
      <c r="G96">
        <v>0</v>
      </c>
      <c r="H96" s="1" t="s">
        <v>17</v>
      </c>
      <c r="I96">
        <v>91.979848925871863</v>
      </c>
      <c r="J96" s="1" t="s">
        <v>849</v>
      </c>
      <c r="K96">
        <v>0</v>
      </c>
      <c r="L96">
        <v>46.964825057053353</v>
      </c>
      <c r="M96">
        <v>3600.6219999999998</v>
      </c>
      <c r="N96">
        <v>45.01502386881851</v>
      </c>
    </row>
    <row r="97" spans="1:14" hidden="1" x14ac:dyDescent="0.3">
      <c r="A97" s="1" t="s">
        <v>1134</v>
      </c>
      <c r="B97" s="1" t="s">
        <v>23</v>
      </c>
      <c r="C97" s="1" t="s">
        <v>24</v>
      </c>
      <c r="D97">
        <v>2</v>
      </c>
      <c r="E97" s="1" t="s">
        <v>17</v>
      </c>
      <c r="F97" s="1" t="s">
        <v>848</v>
      </c>
      <c r="G97">
        <v>0</v>
      </c>
      <c r="H97" s="1" t="s">
        <v>17</v>
      </c>
      <c r="I97">
        <v>78.233379173554709</v>
      </c>
      <c r="J97" s="1" t="s">
        <v>849</v>
      </c>
      <c r="K97">
        <v>0</v>
      </c>
      <c r="L97">
        <v>35.536112223213557</v>
      </c>
      <c r="M97">
        <v>3601.29</v>
      </c>
      <c r="N97">
        <v>42.697266950341145</v>
      </c>
    </row>
    <row r="98" spans="1:14" hidden="1" x14ac:dyDescent="0.3">
      <c r="A98" s="1" t="s">
        <v>1150</v>
      </c>
      <c r="B98" s="1" t="s">
        <v>23</v>
      </c>
      <c r="C98" s="1" t="s">
        <v>24</v>
      </c>
      <c r="D98">
        <v>3</v>
      </c>
      <c r="E98" s="1" t="s">
        <v>17</v>
      </c>
      <c r="F98" s="1" t="s">
        <v>848</v>
      </c>
      <c r="G98">
        <v>0</v>
      </c>
      <c r="H98" s="1" t="s">
        <v>17</v>
      </c>
      <c r="I98">
        <v>77.331574324073273</v>
      </c>
      <c r="J98" s="1" t="s">
        <v>849</v>
      </c>
      <c r="K98">
        <v>0</v>
      </c>
      <c r="L98">
        <v>35.396749590623038</v>
      </c>
      <c r="M98">
        <v>3600.5439999999999</v>
      </c>
      <c r="N98">
        <v>41.934824733450242</v>
      </c>
    </row>
    <row r="99" spans="1:14" hidden="1" x14ac:dyDescent="0.3">
      <c r="A99" s="1" t="s">
        <v>1163</v>
      </c>
      <c r="B99" s="1" t="s">
        <v>23</v>
      </c>
      <c r="C99" s="1" t="s">
        <v>24</v>
      </c>
      <c r="D99">
        <v>4</v>
      </c>
      <c r="E99" s="1" t="s">
        <v>17</v>
      </c>
      <c r="F99" s="1" t="s">
        <v>848</v>
      </c>
      <c r="G99">
        <v>0</v>
      </c>
      <c r="H99" s="1" t="s">
        <v>17</v>
      </c>
      <c r="I99">
        <v>85.989365897834162</v>
      </c>
      <c r="J99" s="1" t="s">
        <v>849</v>
      </c>
      <c r="K99">
        <v>0</v>
      </c>
      <c r="L99">
        <v>44.665394412269805</v>
      </c>
      <c r="M99">
        <v>3600.5430000000001</v>
      </c>
      <c r="N99">
        <v>41.323971485564357</v>
      </c>
    </row>
    <row r="100" spans="1:14" hidden="1" x14ac:dyDescent="0.3">
      <c r="A100" s="1" t="s">
        <v>1182</v>
      </c>
      <c r="B100" s="1" t="s">
        <v>23</v>
      </c>
      <c r="C100" s="1" t="s">
        <v>24</v>
      </c>
      <c r="D100">
        <v>5</v>
      </c>
      <c r="E100" s="1" t="s">
        <v>17</v>
      </c>
      <c r="F100" s="1" t="s">
        <v>1183</v>
      </c>
      <c r="G100">
        <v>0</v>
      </c>
      <c r="H100" s="1" t="s">
        <v>17</v>
      </c>
      <c r="I100">
        <v>62.559183974412925</v>
      </c>
      <c r="J100" s="1" t="s">
        <v>1184</v>
      </c>
      <c r="K100">
        <v>0</v>
      </c>
      <c r="L100">
        <v>23.269953062444337</v>
      </c>
      <c r="M100">
        <v>3600.799</v>
      </c>
      <c r="N100">
        <v>39.289230911968588</v>
      </c>
    </row>
    <row r="101" spans="1:14" hidden="1" x14ac:dyDescent="0.3">
      <c r="A101" s="1" t="s">
        <v>1281</v>
      </c>
      <c r="B101" s="1" t="s">
        <v>26</v>
      </c>
      <c r="C101" s="1" t="s">
        <v>27</v>
      </c>
      <c r="D101">
        <v>1</v>
      </c>
      <c r="E101" s="1" t="s">
        <v>17</v>
      </c>
      <c r="F101" s="1" t="s">
        <v>1282</v>
      </c>
      <c r="G101">
        <v>0</v>
      </c>
      <c r="H101" s="1" t="s">
        <v>17</v>
      </c>
      <c r="I101">
        <v>113.74498524642799</v>
      </c>
      <c r="J101" s="1" t="s">
        <v>1283</v>
      </c>
      <c r="K101">
        <v>0</v>
      </c>
      <c r="L101">
        <v>57.149815291654349</v>
      </c>
      <c r="M101">
        <v>3600.4949999999999</v>
      </c>
      <c r="N101">
        <v>56.595169954773638</v>
      </c>
    </row>
    <row r="102" spans="1:14" hidden="1" x14ac:dyDescent="0.3">
      <c r="A102" s="1" t="s">
        <v>1302</v>
      </c>
      <c r="B102" s="1" t="s">
        <v>26</v>
      </c>
      <c r="C102" s="1" t="s">
        <v>27</v>
      </c>
      <c r="D102">
        <v>2</v>
      </c>
      <c r="E102" s="1" t="s">
        <v>17</v>
      </c>
      <c r="F102" s="1" t="s">
        <v>1303</v>
      </c>
      <c r="G102">
        <v>0</v>
      </c>
      <c r="H102" s="1" t="s">
        <v>17</v>
      </c>
      <c r="I102">
        <v>104.88603934583975</v>
      </c>
      <c r="J102" s="1" t="s">
        <v>1304</v>
      </c>
      <c r="K102">
        <v>0</v>
      </c>
      <c r="L102">
        <v>44.921983834442521</v>
      </c>
      <c r="M102">
        <v>3600.7460000000001</v>
      </c>
      <c r="N102">
        <v>59.964055511397227</v>
      </c>
    </row>
    <row r="103" spans="1:14" hidden="1" x14ac:dyDescent="0.3">
      <c r="A103" s="1" t="s">
        <v>1320</v>
      </c>
      <c r="B103" s="1" t="s">
        <v>26</v>
      </c>
      <c r="C103" s="1" t="s">
        <v>27</v>
      </c>
      <c r="D103">
        <v>3</v>
      </c>
      <c r="E103" s="1" t="s">
        <v>17</v>
      </c>
      <c r="F103" s="1" t="s">
        <v>1321</v>
      </c>
      <c r="G103">
        <v>20</v>
      </c>
      <c r="H103" s="1" t="s">
        <v>17</v>
      </c>
      <c r="I103">
        <v>152.90005507026214</v>
      </c>
      <c r="J103" s="1" t="s">
        <v>1322</v>
      </c>
      <c r="K103">
        <v>0</v>
      </c>
      <c r="L103">
        <v>74.509238104018692</v>
      </c>
      <c r="M103">
        <v>3600.4470000000001</v>
      </c>
      <c r="N103">
        <v>58.390816966243442</v>
      </c>
    </row>
    <row r="104" spans="1:14" hidden="1" x14ac:dyDescent="0.3">
      <c r="A104" s="1" t="s">
        <v>1341</v>
      </c>
      <c r="B104" s="1" t="s">
        <v>26</v>
      </c>
      <c r="C104" s="1" t="s">
        <v>27</v>
      </c>
      <c r="D104">
        <v>4</v>
      </c>
      <c r="E104" s="1" t="s">
        <v>17</v>
      </c>
      <c r="F104" s="1" t="s">
        <v>1342</v>
      </c>
      <c r="G104">
        <v>0</v>
      </c>
      <c r="H104" s="1" t="s">
        <v>17</v>
      </c>
      <c r="I104">
        <v>87.936626209164444</v>
      </c>
      <c r="J104" s="1" t="s">
        <v>962</v>
      </c>
      <c r="K104">
        <v>0</v>
      </c>
      <c r="L104">
        <v>20.69352797121196</v>
      </c>
      <c r="M104">
        <v>3600.2930000000001</v>
      </c>
      <c r="N104">
        <v>67.243098237952481</v>
      </c>
    </row>
    <row r="105" spans="1:14" hidden="1" x14ac:dyDescent="0.3">
      <c r="A105" s="1" t="s">
        <v>1363</v>
      </c>
      <c r="B105" s="1" t="s">
        <v>26</v>
      </c>
      <c r="C105" s="1" t="s">
        <v>27</v>
      </c>
      <c r="D105">
        <v>5</v>
      </c>
      <c r="E105" s="1" t="s">
        <v>17</v>
      </c>
      <c r="F105" s="1" t="s">
        <v>1364</v>
      </c>
      <c r="G105">
        <v>0</v>
      </c>
      <c r="H105" s="1" t="s">
        <v>17</v>
      </c>
      <c r="I105">
        <v>101.65088338246292</v>
      </c>
      <c r="J105" s="1" t="s">
        <v>962</v>
      </c>
      <c r="K105">
        <v>0</v>
      </c>
      <c r="L105">
        <v>53.398171015742548</v>
      </c>
      <c r="M105">
        <v>3600.4740000000002</v>
      </c>
      <c r="N105">
        <v>48.252712366720381</v>
      </c>
    </row>
    <row r="106" spans="1:14" hidden="1" x14ac:dyDescent="0.3">
      <c r="A106" s="1" t="s">
        <v>960</v>
      </c>
      <c r="B106" s="1" t="s">
        <v>20</v>
      </c>
      <c r="C106" s="1" t="s">
        <v>19</v>
      </c>
      <c r="D106">
        <v>1</v>
      </c>
      <c r="E106" s="1" t="s">
        <v>17</v>
      </c>
      <c r="F106" s="1" t="s">
        <v>961</v>
      </c>
      <c r="G106">
        <v>0</v>
      </c>
      <c r="H106" s="1" t="s">
        <v>17</v>
      </c>
      <c r="I106">
        <v>206.49858526171704</v>
      </c>
      <c r="J106" s="1" t="s">
        <v>962</v>
      </c>
      <c r="K106">
        <v>0</v>
      </c>
      <c r="L106">
        <v>122.95429208630105</v>
      </c>
      <c r="M106">
        <v>3601.33</v>
      </c>
      <c r="N106">
        <v>83.544293175416001</v>
      </c>
    </row>
    <row r="107" spans="1:14" hidden="1" x14ac:dyDescent="0.3">
      <c r="A107" s="1" t="s">
        <v>976</v>
      </c>
      <c r="B107" s="1" t="s">
        <v>20</v>
      </c>
      <c r="C107" s="1" t="s">
        <v>19</v>
      </c>
      <c r="D107">
        <v>2</v>
      </c>
      <c r="E107" s="1" t="s">
        <v>17</v>
      </c>
      <c r="F107" s="1" t="s">
        <v>977</v>
      </c>
      <c r="G107">
        <v>0</v>
      </c>
      <c r="H107" s="1" t="s">
        <v>17</v>
      </c>
      <c r="I107">
        <v>184.08082308310998</v>
      </c>
      <c r="J107" s="1" t="s">
        <v>962</v>
      </c>
      <c r="K107">
        <v>0</v>
      </c>
      <c r="L107">
        <v>93.348075569334938</v>
      </c>
      <c r="M107">
        <v>3602.5770000000002</v>
      </c>
      <c r="N107">
        <v>90.732747513775038</v>
      </c>
    </row>
    <row r="108" spans="1:14" hidden="1" x14ac:dyDescent="0.3">
      <c r="A108" s="1" t="s">
        <v>992</v>
      </c>
      <c r="B108" s="1" t="s">
        <v>20</v>
      </c>
      <c r="C108" s="1" t="s">
        <v>19</v>
      </c>
      <c r="D108">
        <v>3</v>
      </c>
      <c r="E108" s="1" t="s">
        <v>17</v>
      </c>
      <c r="F108" s="1" t="s">
        <v>993</v>
      </c>
      <c r="G108">
        <v>0</v>
      </c>
      <c r="H108" s="1" t="s">
        <v>17</v>
      </c>
      <c r="I108">
        <v>82.08955100438672</v>
      </c>
      <c r="J108" s="1" t="s">
        <v>962</v>
      </c>
      <c r="K108">
        <v>0</v>
      </c>
      <c r="L108">
        <v>19.92851570238291</v>
      </c>
      <c r="M108">
        <v>3604.13</v>
      </c>
      <c r="N108">
        <v>62.161035302003818</v>
      </c>
    </row>
    <row r="109" spans="1:14" hidden="1" x14ac:dyDescent="0.3">
      <c r="A109" s="1" t="s">
        <v>1007</v>
      </c>
      <c r="B109" s="1" t="s">
        <v>20</v>
      </c>
      <c r="C109" s="1" t="s">
        <v>19</v>
      </c>
      <c r="D109">
        <v>4</v>
      </c>
      <c r="E109" s="1" t="s">
        <v>17</v>
      </c>
      <c r="F109" s="1" t="s">
        <v>1008</v>
      </c>
      <c r="G109">
        <v>0</v>
      </c>
      <c r="H109" s="1" t="s">
        <v>17</v>
      </c>
      <c r="I109">
        <v>80.990363753721695</v>
      </c>
      <c r="J109" s="1" t="s">
        <v>962</v>
      </c>
      <c r="K109">
        <v>0</v>
      </c>
      <c r="L109">
        <v>15.194663018418055</v>
      </c>
      <c r="M109">
        <v>3604.3690000000001</v>
      </c>
      <c r="N109">
        <v>65.79570073530364</v>
      </c>
    </row>
    <row r="110" spans="1:14" hidden="1" x14ac:dyDescent="0.3">
      <c r="A110" s="1" t="s">
        <v>1025</v>
      </c>
      <c r="B110" s="1" t="s">
        <v>20</v>
      </c>
      <c r="C110" s="1" t="s">
        <v>19</v>
      </c>
      <c r="D110">
        <v>5</v>
      </c>
      <c r="E110" s="1" t="s">
        <v>17</v>
      </c>
      <c r="F110" s="1" t="s">
        <v>1026</v>
      </c>
      <c r="G110">
        <v>0</v>
      </c>
      <c r="H110" s="1" t="s">
        <v>17</v>
      </c>
      <c r="I110">
        <v>153.8886616162211</v>
      </c>
      <c r="J110" s="1" t="s">
        <v>962</v>
      </c>
      <c r="K110">
        <v>0</v>
      </c>
      <c r="L110">
        <v>67.025304255021524</v>
      </c>
      <c r="M110">
        <v>3608.0590000000002</v>
      </c>
      <c r="N110">
        <v>86.86335736119959</v>
      </c>
    </row>
    <row r="111" spans="1:14" hidden="1" x14ac:dyDescent="0.3">
      <c r="A111" s="1" t="s">
        <v>1199</v>
      </c>
      <c r="B111" s="1" t="s">
        <v>25</v>
      </c>
      <c r="C111" s="1" t="s">
        <v>24</v>
      </c>
      <c r="D111">
        <v>1</v>
      </c>
      <c r="E111" s="1" t="s">
        <v>17</v>
      </c>
      <c r="F111" s="1" t="s">
        <v>1200</v>
      </c>
      <c r="G111">
        <v>0</v>
      </c>
      <c r="H111" s="1" t="s">
        <v>17</v>
      </c>
      <c r="I111">
        <v>402.22599898316503</v>
      </c>
      <c r="J111" s="1" t="s">
        <v>962</v>
      </c>
      <c r="K111">
        <v>0</v>
      </c>
      <c r="L111">
        <v>166.53626967552455</v>
      </c>
      <c r="M111">
        <v>3600.9659999999999</v>
      </c>
      <c r="N111">
        <v>235.68972930764048</v>
      </c>
    </row>
    <row r="112" spans="1:14" hidden="1" x14ac:dyDescent="0.3">
      <c r="A112" s="1" t="s">
        <v>1212</v>
      </c>
      <c r="B112" s="1" t="s">
        <v>25</v>
      </c>
      <c r="C112" s="1" t="s">
        <v>24</v>
      </c>
      <c r="D112">
        <v>2</v>
      </c>
      <c r="E112" s="1" t="s">
        <v>17</v>
      </c>
      <c r="F112" s="1" t="s">
        <v>1213</v>
      </c>
      <c r="G112">
        <v>0</v>
      </c>
      <c r="H112" s="1" t="s">
        <v>17</v>
      </c>
      <c r="I112">
        <v>586.88028517224757</v>
      </c>
      <c r="J112" s="1" t="s">
        <v>962</v>
      </c>
      <c r="K112">
        <v>0</v>
      </c>
      <c r="L112">
        <v>337.86052397956433</v>
      </c>
      <c r="M112">
        <v>3600.663</v>
      </c>
      <c r="N112">
        <v>249.01976119268321</v>
      </c>
    </row>
    <row r="113" spans="1:14" hidden="1" x14ac:dyDescent="0.3">
      <c r="A113" s="1" t="s">
        <v>1225</v>
      </c>
      <c r="B113" s="1" t="s">
        <v>25</v>
      </c>
      <c r="C113" s="1" t="s">
        <v>24</v>
      </c>
      <c r="D113">
        <v>3</v>
      </c>
      <c r="E113" s="1" t="s">
        <v>17</v>
      </c>
      <c r="F113" s="1" t="s">
        <v>1226</v>
      </c>
      <c r="G113">
        <v>0</v>
      </c>
      <c r="H113" s="1" t="s">
        <v>17</v>
      </c>
      <c r="I113">
        <v>405.09061414215523</v>
      </c>
      <c r="J113" s="1" t="s">
        <v>1227</v>
      </c>
      <c r="K113">
        <v>0</v>
      </c>
      <c r="L113">
        <v>190.71837251814443</v>
      </c>
      <c r="M113">
        <v>3605.2559999999999</v>
      </c>
      <c r="N113">
        <v>214.3722416240108</v>
      </c>
    </row>
    <row r="114" spans="1:14" hidden="1" x14ac:dyDescent="0.3">
      <c r="A114" s="1" t="s">
        <v>1260</v>
      </c>
      <c r="B114" s="1" t="s">
        <v>25</v>
      </c>
      <c r="C114" s="1" t="s">
        <v>24</v>
      </c>
      <c r="D114">
        <v>5</v>
      </c>
      <c r="E114" s="1" t="s">
        <v>17</v>
      </c>
      <c r="F114" s="1" t="s">
        <v>1261</v>
      </c>
      <c r="G114">
        <v>20</v>
      </c>
      <c r="H114" s="1" t="s">
        <v>17</v>
      </c>
      <c r="I114">
        <v>545.05236410620807</v>
      </c>
      <c r="J114" s="1" t="s">
        <v>1227</v>
      </c>
      <c r="K114">
        <v>0</v>
      </c>
      <c r="L114">
        <v>287.24097062037288</v>
      </c>
      <c r="M114">
        <v>3610.627</v>
      </c>
      <c r="N114">
        <v>237.8113934858352</v>
      </c>
    </row>
    <row r="115" spans="1:14" hidden="1" x14ac:dyDescent="0.3">
      <c r="A115" s="1" t="s">
        <v>1376</v>
      </c>
      <c r="B115" s="1" t="s">
        <v>28</v>
      </c>
      <c r="C115" s="1" t="s">
        <v>29</v>
      </c>
      <c r="D115">
        <v>1</v>
      </c>
      <c r="E115" s="1" t="s">
        <v>17</v>
      </c>
      <c r="F115" s="1" t="s">
        <v>1377</v>
      </c>
      <c r="G115">
        <v>20</v>
      </c>
      <c r="H115" s="1" t="s">
        <v>17</v>
      </c>
      <c r="I115">
        <v>833.41557547503862</v>
      </c>
      <c r="J115" s="1" t="s">
        <v>1227</v>
      </c>
      <c r="K115">
        <v>0</v>
      </c>
      <c r="L115">
        <v>357.2868559384525</v>
      </c>
      <c r="M115">
        <v>3600.9560000000001</v>
      </c>
      <c r="N115">
        <v>456.12871953658606</v>
      </c>
    </row>
    <row r="116" spans="1:14" hidden="1" x14ac:dyDescent="0.3">
      <c r="A116" s="1" t="s">
        <v>1392</v>
      </c>
      <c r="B116" s="1" t="s">
        <v>28</v>
      </c>
      <c r="C116" s="1" t="s">
        <v>29</v>
      </c>
      <c r="D116">
        <v>2</v>
      </c>
      <c r="E116" s="1" t="s">
        <v>17</v>
      </c>
      <c r="F116" s="1" t="s">
        <v>1393</v>
      </c>
      <c r="G116">
        <v>40</v>
      </c>
      <c r="H116" s="1" t="s">
        <v>17</v>
      </c>
      <c r="I116">
        <v>968.61138039661773</v>
      </c>
      <c r="J116" s="1" t="s">
        <v>1227</v>
      </c>
      <c r="K116">
        <v>0</v>
      </c>
      <c r="L116">
        <v>490.06088065081508</v>
      </c>
      <c r="M116">
        <v>3601.37</v>
      </c>
      <c r="N116">
        <v>438.55049974580265</v>
      </c>
    </row>
    <row r="117" spans="1:14" hidden="1" x14ac:dyDescent="0.3">
      <c r="A117" s="1" t="s">
        <v>1405</v>
      </c>
      <c r="B117" s="1" t="s">
        <v>28</v>
      </c>
      <c r="C117" s="1" t="s">
        <v>29</v>
      </c>
      <c r="D117">
        <v>3</v>
      </c>
      <c r="E117" s="1" t="s">
        <v>17</v>
      </c>
      <c r="F117" s="1" t="s">
        <v>1406</v>
      </c>
      <c r="G117">
        <v>20</v>
      </c>
      <c r="H117" s="1" t="s">
        <v>17</v>
      </c>
      <c r="I117">
        <v>932.75037768228253</v>
      </c>
      <c r="J117" s="1" t="s">
        <v>1227</v>
      </c>
      <c r="K117">
        <v>0</v>
      </c>
      <c r="L117">
        <v>477.91807130778119</v>
      </c>
      <c r="M117">
        <v>3601.4169999999999</v>
      </c>
      <c r="N117">
        <v>434.83230637450129</v>
      </c>
    </row>
    <row r="118" spans="1:14" hidden="1" x14ac:dyDescent="0.3">
      <c r="A118" s="1" t="s">
        <v>1418</v>
      </c>
      <c r="B118" s="1" t="s">
        <v>28</v>
      </c>
      <c r="C118" s="1" t="s">
        <v>29</v>
      </c>
      <c r="D118">
        <v>4</v>
      </c>
      <c r="E118" s="1" t="s">
        <v>17</v>
      </c>
      <c r="F118" s="1" t="s">
        <v>1419</v>
      </c>
      <c r="G118">
        <v>20</v>
      </c>
      <c r="H118" s="1" t="s">
        <v>17</v>
      </c>
      <c r="I118">
        <v>815.73471604854035</v>
      </c>
      <c r="J118" s="1" t="s">
        <v>1227</v>
      </c>
      <c r="K118">
        <v>0</v>
      </c>
      <c r="L118">
        <v>367.05122484305679</v>
      </c>
      <c r="M118">
        <v>3600.848</v>
      </c>
      <c r="N118">
        <v>428.68349120548362</v>
      </c>
    </row>
    <row r="119" spans="1:14" hidden="1" x14ac:dyDescent="0.3">
      <c r="A119" s="1" t="s">
        <v>1427</v>
      </c>
      <c r="B119" s="1" t="s">
        <v>28</v>
      </c>
      <c r="C119" s="1" t="s">
        <v>29</v>
      </c>
      <c r="D119">
        <v>5</v>
      </c>
      <c r="E119" s="1" t="s">
        <v>17</v>
      </c>
      <c r="F119" s="1" t="s">
        <v>1428</v>
      </c>
      <c r="G119">
        <v>40</v>
      </c>
      <c r="H119" s="1" t="s">
        <v>17</v>
      </c>
      <c r="I119">
        <v>881.6534850574626</v>
      </c>
      <c r="J119" s="1" t="s">
        <v>1429</v>
      </c>
      <c r="K119">
        <v>0</v>
      </c>
      <c r="L119">
        <v>418.72338575250984</v>
      </c>
      <c r="M119">
        <v>3600.8969999999999</v>
      </c>
      <c r="N119">
        <v>422.93009930495276</v>
      </c>
    </row>
    <row r="120" spans="1:14" hidden="1" x14ac:dyDescent="0.3">
      <c r="A120" s="1" t="s">
        <v>1439</v>
      </c>
      <c r="B120" s="1" t="s">
        <v>30</v>
      </c>
      <c r="C120" s="1" t="s">
        <v>31</v>
      </c>
      <c r="D120">
        <v>1</v>
      </c>
      <c r="E120" s="1" t="s">
        <v>17</v>
      </c>
      <c r="F120" s="1" t="s">
        <v>1440</v>
      </c>
      <c r="G120">
        <v>40</v>
      </c>
      <c r="H120" s="1" t="s">
        <v>17</v>
      </c>
      <c r="I120">
        <v>1185.9361243671656</v>
      </c>
      <c r="J120" s="1" t="s">
        <v>1441</v>
      </c>
      <c r="K120">
        <v>0</v>
      </c>
      <c r="L120">
        <v>466.65040628063679</v>
      </c>
      <c r="M120">
        <v>3601.9940000000001</v>
      </c>
      <c r="N120">
        <v>679.28571808652885</v>
      </c>
    </row>
    <row r="121" spans="1:14" hidden="1" x14ac:dyDescent="0.3">
      <c r="A121" s="1" t="s">
        <v>1450</v>
      </c>
      <c r="B121" s="1" t="s">
        <v>30</v>
      </c>
      <c r="C121" s="1" t="s">
        <v>31</v>
      </c>
      <c r="D121">
        <v>2</v>
      </c>
      <c r="E121" s="1" t="s">
        <v>17</v>
      </c>
      <c r="F121" s="1" t="s">
        <v>1451</v>
      </c>
      <c r="G121">
        <v>60</v>
      </c>
      <c r="H121" s="1" t="s">
        <v>17</v>
      </c>
      <c r="I121">
        <v>1347.1390988596027</v>
      </c>
      <c r="J121" s="1" t="s">
        <v>1452</v>
      </c>
      <c r="K121">
        <v>0</v>
      </c>
      <c r="L121">
        <v>618.85386417551354</v>
      </c>
      <c r="M121">
        <v>3601.9009999999998</v>
      </c>
      <c r="N121">
        <v>668.28523468408912</v>
      </c>
    </row>
    <row r="122" spans="1:14" hidden="1" x14ac:dyDescent="0.3">
      <c r="A122" s="1" t="s">
        <v>1461</v>
      </c>
      <c r="B122" s="1" t="s">
        <v>30</v>
      </c>
      <c r="C122" s="1" t="s">
        <v>31</v>
      </c>
      <c r="D122">
        <v>3</v>
      </c>
      <c r="E122" s="1" t="s">
        <v>17</v>
      </c>
      <c r="F122" s="1" t="s">
        <v>1462</v>
      </c>
      <c r="G122">
        <v>20</v>
      </c>
      <c r="H122" s="1" t="s">
        <v>17</v>
      </c>
      <c r="I122">
        <v>1198.5434886000141</v>
      </c>
      <c r="J122" s="1" t="s">
        <v>1463</v>
      </c>
      <c r="K122">
        <v>0</v>
      </c>
      <c r="L122">
        <v>486.23025972214913</v>
      </c>
      <c r="M122">
        <v>3601.3040000000001</v>
      </c>
      <c r="N122">
        <v>692.31322887786496</v>
      </c>
    </row>
    <row r="123" spans="1:14" hidden="1" x14ac:dyDescent="0.3">
      <c r="A123" s="1" t="s">
        <v>1474</v>
      </c>
      <c r="B123" s="1" t="s">
        <v>30</v>
      </c>
      <c r="C123" s="1" t="s">
        <v>31</v>
      </c>
      <c r="D123">
        <v>4</v>
      </c>
      <c r="E123" s="1" t="s">
        <v>17</v>
      </c>
      <c r="F123" s="1" t="s">
        <v>1475</v>
      </c>
      <c r="G123">
        <v>40</v>
      </c>
      <c r="H123" s="1" t="s">
        <v>17</v>
      </c>
      <c r="I123">
        <v>1294.1472189234028</v>
      </c>
      <c r="J123" s="1" t="s">
        <v>1476</v>
      </c>
      <c r="K123">
        <v>0</v>
      </c>
      <c r="L123">
        <v>530.3606589572754</v>
      </c>
      <c r="M123">
        <v>3601.36</v>
      </c>
      <c r="N123">
        <v>723.78655996612747</v>
      </c>
    </row>
    <row r="124" spans="1:14" hidden="1" x14ac:dyDescent="0.3">
      <c r="A124" s="1" t="s">
        <v>1488</v>
      </c>
      <c r="B124" s="1" t="s">
        <v>30</v>
      </c>
      <c r="C124" s="1" t="s">
        <v>31</v>
      </c>
      <c r="D124">
        <v>5</v>
      </c>
      <c r="E124" s="1" t="s">
        <v>17</v>
      </c>
      <c r="F124" s="1" t="s">
        <v>1489</v>
      </c>
      <c r="G124">
        <v>40</v>
      </c>
      <c r="H124" s="1" t="s">
        <v>17</v>
      </c>
      <c r="I124">
        <v>1522.8850298446728</v>
      </c>
      <c r="J124" s="1" t="s">
        <v>1490</v>
      </c>
      <c r="K124">
        <v>0</v>
      </c>
      <c r="L124">
        <v>805.77315693937271</v>
      </c>
      <c r="M124">
        <v>3602.46</v>
      </c>
      <c r="N124">
        <v>677.11187290529995</v>
      </c>
    </row>
    <row r="125" spans="1:14" hidden="1" x14ac:dyDescent="0.3">
      <c r="A125" s="1" t="s">
        <v>1505</v>
      </c>
      <c r="B125" s="1" t="s">
        <v>32</v>
      </c>
      <c r="C125" s="1" t="s">
        <v>33</v>
      </c>
      <c r="D125">
        <v>1</v>
      </c>
      <c r="E125" s="1" t="s">
        <v>17</v>
      </c>
      <c r="F125" s="1" t="s">
        <v>1506</v>
      </c>
      <c r="G125">
        <v>40</v>
      </c>
      <c r="H125" s="1" t="s">
        <v>17</v>
      </c>
      <c r="I125">
        <v>1803.2901787532733</v>
      </c>
      <c r="J125" s="1" t="s">
        <v>1490</v>
      </c>
      <c r="K125">
        <v>0</v>
      </c>
      <c r="L125">
        <v>805.80769506659874</v>
      </c>
      <c r="M125">
        <v>3601.7979999999998</v>
      </c>
      <c r="N125">
        <v>957.48248368667453</v>
      </c>
    </row>
    <row r="126" spans="1:14" hidden="1" x14ac:dyDescent="0.3">
      <c r="A126" s="1" t="s">
        <v>1519</v>
      </c>
      <c r="B126" s="1" t="s">
        <v>32</v>
      </c>
      <c r="C126" s="1" t="s">
        <v>33</v>
      </c>
      <c r="D126">
        <v>2</v>
      </c>
      <c r="E126" s="1" t="s">
        <v>17</v>
      </c>
      <c r="F126" s="1" t="s">
        <v>1520</v>
      </c>
      <c r="G126">
        <v>40</v>
      </c>
      <c r="H126" s="1" t="s">
        <v>17</v>
      </c>
      <c r="I126">
        <v>1870.8345061643877</v>
      </c>
      <c r="J126" s="1" t="s">
        <v>1490</v>
      </c>
      <c r="K126">
        <v>0</v>
      </c>
      <c r="L126">
        <v>817.37588063465228</v>
      </c>
      <c r="M126">
        <v>3622.02</v>
      </c>
      <c r="N126">
        <v>1013.4586255297353</v>
      </c>
    </row>
    <row r="127" spans="1:14" hidden="1" x14ac:dyDescent="0.3">
      <c r="A127" s="1" t="s">
        <v>1534</v>
      </c>
      <c r="B127" s="1" t="s">
        <v>32</v>
      </c>
      <c r="C127" s="1" t="s">
        <v>33</v>
      </c>
      <c r="D127">
        <v>3</v>
      </c>
      <c r="E127" s="1" t="s">
        <v>17</v>
      </c>
      <c r="F127" s="1" t="s">
        <v>1535</v>
      </c>
      <c r="G127">
        <v>40</v>
      </c>
      <c r="H127" s="1" t="s">
        <v>17</v>
      </c>
      <c r="I127">
        <v>1778.3265098133306</v>
      </c>
      <c r="J127" s="1" t="s">
        <v>1536</v>
      </c>
      <c r="K127">
        <v>0</v>
      </c>
      <c r="L127">
        <v>765.95612701041614</v>
      </c>
      <c r="M127">
        <v>3601.8539999999998</v>
      </c>
      <c r="N127">
        <v>972.37038280291461</v>
      </c>
    </row>
    <row r="128" spans="1:14" hidden="1" x14ac:dyDescent="0.3">
      <c r="A128" s="1" t="s">
        <v>1549</v>
      </c>
      <c r="B128" s="1" t="s">
        <v>32</v>
      </c>
      <c r="C128" s="1" t="s">
        <v>33</v>
      </c>
      <c r="D128">
        <v>4</v>
      </c>
      <c r="E128" s="1" t="s">
        <v>17</v>
      </c>
      <c r="F128" s="1" t="s">
        <v>1550</v>
      </c>
      <c r="G128">
        <v>20</v>
      </c>
      <c r="H128" s="1" t="s">
        <v>17</v>
      </c>
      <c r="I128">
        <v>1782.545503555702</v>
      </c>
      <c r="J128" s="1" t="s">
        <v>1536</v>
      </c>
      <c r="K128">
        <v>0</v>
      </c>
      <c r="L128">
        <v>796.50994073683682</v>
      </c>
      <c r="M128">
        <v>3601.252</v>
      </c>
      <c r="N128">
        <v>966.03556281886506</v>
      </c>
    </row>
    <row r="129" spans="1:14" hidden="1" x14ac:dyDescent="0.3">
      <c r="A129" s="1" t="s">
        <v>1562</v>
      </c>
      <c r="B129" s="1" t="s">
        <v>32</v>
      </c>
      <c r="C129" s="1" t="s">
        <v>33</v>
      </c>
      <c r="D129">
        <v>5</v>
      </c>
      <c r="E129" s="1" t="s">
        <v>17</v>
      </c>
      <c r="F129" s="1" t="s">
        <v>1563</v>
      </c>
      <c r="G129">
        <v>40</v>
      </c>
      <c r="H129" s="1" t="s">
        <v>17</v>
      </c>
      <c r="I129">
        <v>1778.2686432416299</v>
      </c>
      <c r="J129" s="1" t="s">
        <v>1536</v>
      </c>
      <c r="K129">
        <v>0</v>
      </c>
      <c r="L129">
        <v>776.21154441926842</v>
      </c>
      <c r="M129">
        <v>3601.6170000000002</v>
      </c>
      <c r="N129">
        <v>962.05709882236158</v>
      </c>
    </row>
    <row r="130" spans="1:14" hidden="1" x14ac:dyDescent="0.3">
      <c r="A130" s="1" t="s">
        <v>1110</v>
      </c>
      <c r="B130" s="1" t="s">
        <v>23</v>
      </c>
      <c r="C130" s="1" t="s">
        <v>24</v>
      </c>
      <c r="D130">
        <v>1</v>
      </c>
      <c r="E130" s="1" t="s">
        <v>16</v>
      </c>
      <c r="F130" s="1" t="s">
        <v>1111</v>
      </c>
      <c r="G130">
        <v>0</v>
      </c>
      <c r="H130" s="1" t="s">
        <v>16</v>
      </c>
      <c r="I130">
        <v>78.891739664905344</v>
      </c>
      <c r="J130" s="1" t="s">
        <v>1112</v>
      </c>
      <c r="K130">
        <v>0</v>
      </c>
      <c r="L130">
        <v>33.507365378873374</v>
      </c>
      <c r="M130">
        <v>3600.7640000000001</v>
      </c>
      <c r="N130">
        <v>45.384374286031978</v>
      </c>
    </row>
    <row r="131" spans="1:14" hidden="1" x14ac:dyDescent="0.3">
      <c r="A131" s="1" t="s">
        <v>1130</v>
      </c>
      <c r="B131" s="1" t="s">
        <v>23</v>
      </c>
      <c r="C131" s="1" t="s">
        <v>24</v>
      </c>
      <c r="D131">
        <v>2</v>
      </c>
      <c r="E131" s="1" t="s">
        <v>16</v>
      </c>
      <c r="F131" s="1" t="s">
        <v>1111</v>
      </c>
      <c r="G131">
        <v>0</v>
      </c>
      <c r="H131" s="1" t="s">
        <v>16</v>
      </c>
      <c r="I131">
        <v>68.446788890075368</v>
      </c>
      <c r="J131" s="1" t="s">
        <v>1112</v>
      </c>
      <c r="K131">
        <v>0</v>
      </c>
      <c r="L131">
        <v>25.302197532802765</v>
      </c>
      <c r="M131">
        <v>3600.72</v>
      </c>
      <c r="N131">
        <v>43.144591357272603</v>
      </c>
    </row>
    <row r="132" spans="1:14" hidden="1" x14ac:dyDescent="0.3">
      <c r="A132" s="1" t="s">
        <v>1147</v>
      </c>
      <c r="B132" s="1" t="s">
        <v>23</v>
      </c>
      <c r="C132" s="1" t="s">
        <v>24</v>
      </c>
      <c r="D132">
        <v>3</v>
      </c>
      <c r="E132" s="1" t="s">
        <v>16</v>
      </c>
      <c r="F132" s="1" t="s">
        <v>1111</v>
      </c>
      <c r="G132">
        <v>0</v>
      </c>
      <c r="H132" s="1" t="s">
        <v>16</v>
      </c>
      <c r="I132">
        <v>69.561741556373534</v>
      </c>
      <c r="J132" s="1" t="s">
        <v>1112</v>
      </c>
      <c r="K132">
        <v>0</v>
      </c>
      <c r="L132">
        <v>27.49581398387917</v>
      </c>
      <c r="M132">
        <v>3601.2350000000001</v>
      </c>
      <c r="N132">
        <v>42.065927572494367</v>
      </c>
    </row>
    <row r="133" spans="1:14" hidden="1" x14ac:dyDescent="0.3">
      <c r="A133" s="1" t="s">
        <v>1160</v>
      </c>
      <c r="B133" s="1" t="s">
        <v>23</v>
      </c>
      <c r="C133" s="1" t="s">
        <v>24</v>
      </c>
      <c r="D133">
        <v>4</v>
      </c>
      <c r="E133" s="1" t="s">
        <v>16</v>
      </c>
      <c r="F133" s="1" t="s">
        <v>1111</v>
      </c>
      <c r="G133">
        <v>0</v>
      </c>
      <c r="H133" s="1" t="s">
        <v>16</v>
      </c>
      <c r="I133">
        <v>88.686283588197369</v>
      </c>
      <c r="J133" s="1" t="s">
        <v>1112</v>
      </c>
      <c r="K133">
        <v>0</v>
      </c>
      <c r="L133">
        <v>47.420126284623734</v>
      </c>
      <c r="M133">
        <v>3601.2510000000002</v>
      </c>
      <c r="N133">
        <v>41.266157303573642</v>
      </c>
    </row>
    <row r="134" spans="1:14" hidden="1" x14ac:dyDescent="0.3">
      <c r="A134" s="1" t="s">
        <v>1179</v>
      </c>
      <c r="B134" s="1" t="s">
        <v>23</v>
      </c>
      <c r="C134" s="1" t="s">
        <v>24</v>
      </c>
      <c r="D134">
        <v>5</v>
      </c>
      <c r="E134" s="1" t="s">
        <v>16</v>
      </c>
      <c r="F134" s="1" t="s">
        <v>1111</v>
      </c>
      <c r="G134">
        <v>0</v>
      </c>
      <c r="H134" s="1" t="s">
        <v>16</v>
      </c>
      <c r="I134">
        <v>57.155320569944507</v>
      </c>
      <c r="J134" s="1" t="s">
        <v>1112</v>
      </c>
      <c r="K134">
        <v>0</v>
      </c>
      <c r="L134">
        <v>17.936145369461833</v>
      </c>
      <c r="M134">
        <v>3600.4</v>
      </c>
      <c r="N134">
        <v>39.219175200482674</v>
      </c>
    </row>
    <row r="135" spans="1:14" hidden="1" x14ac:dyDescent="0.3">
      <c r="A135" s="1" t="s">
        <v>1117</v>
      </c>
      <c r="B135" s="1" t="s">
        <v>23</v>
      </c>
      <c r="C135" s="1" t="s">
        <v>24</v>
      </c>
      <c r="D135">
        <v>1</v>
      </c>
      <c r="E135" s="1" t="s">
        <v>17</v>
      </c>
      <c r="F135" s="1" t="s">
        <v>1118</v>
      </c>
      <c r="G135">
        <v>0</v>
      </c>
      <c r="H135" s="1" t="s">
        <v>17</v>
      </c>
      <c r="I135">
        <v>91.979848925871863</v>
      </c>
      <c r="J135" s="1" t="s">
        <v>1119</v>
      </c>
      <c r="K135">
        <v>0</v>
      </c>
      <c r="L135">
        <v>46.964825057053353</v>
      </c>
      <c r="M135">
        <v>3601.0360000000001</v>
      </c>
      <c r="N135">
        <v>45.01502386881851</v>
      </c>
    </row>
    <row r="136" spans="1:14" hidden="1" x14ac:dyDescent="0.3">
      <c r="A136" s="1" t="s">
        <v>1151</v>
      </c>
      <c r="B136" s="1" t="s">
        <v>23</v>
      </c>
      <c r="C136" s="1" t="s">
        <v>24</v>
      </c>
      <c r="D136">
        <v>3</v>
      </c>
      <c r="E136" s="1" t="s">
        <v>17</v>
      </c>
      <c r="F136" s="1" t="s">
        <v>1118</v>
      </c>
      <c r="G136">
        <v>0</v>
      </c>
      <c r="H136" s="1" t="s">
        <v>17</v>
      </c>
      <c r="I136">
        <v>77.321310908993595</v>
      </c>
      <c r="J136" s="1" t="s">
        <v>1119</v>
      </c>
      <c r="K136">
        <v>0</v>
      </c>
      <c r="L136">
        <v>35.396749590623038</v>
      </c>
      <c r="M136">
        <v>3600.7339999999999</v>
      </c>
      <c r="N136">
        <v>41.924561318370557</v>
      </c>
    </row>
    <row r="137" spans="1:14" hidden="1" x14ac:dyDescent="0.3">
      <c r="A137" s="1" t="s">
        <v>1164</v>
      </c>
      <c r="B137" s="1" t="s">
        <v>23</v>
      </c>
      <c r="C137" s="1" t="s">
        <v>24</v>
      </c>
      <c r="D137">
        <v>4</v>
      </c>
      <c r="E137" s="1" t="s">
        <v>17</v>
      </c>
      <c r="F137" s="1" t="s">
        <v>1118</v>
      </c>
      <c r="G137">
        <v>0</v>
      </c>
      <c r="H137" s="1" t="s">
        <v>17</v>
      </c>
      <c r="I137">
        <v>85.735369665674398</v>
      </c>
      <c r="J137" s="1" t="s">
        <v>1119</v>
      </c>
      <c r="K137">
        <v>0</v>
      </c>
      <c r="L137">
        <v>44.665394412269805</v>
      </c>
      <c r="M137">
        <v>3600.962</v>
      </c>
      <c r="N137">
        <v>41.069975253404586</v>
      </c>
    </row>
    <row r="138" spans="1:14" hidden="1" x14ac:dyDescent="0.3">
      <c r="A138" s="1" t="s">
        <v>1135</v>
      </c>
      <c r="B138" s="1" t="s">
        <v>23</v>
      </c>
      <c r="C138" s="1" t="s">
        <v>24</v>
      </c>
      <c r="D138">
        <v>2</v>
      </c>
      <c r="E138" s="1" t="s">
        <v>17</v>
      </c>
      <c r="F138" s="1" t="s">
        <v>1136</v>
      </c>
      <c r="G138">
        <v>0</v>
      </c>
      <c r="H138" s="1" t="s">
        <v>17</v>
      </c>
      <c r="I138">
        <v>72.709830002806171</v>
      </c>
      <c r="J138" s="1" t="s">
        <v>1119</v>
      </c>
      <c r="K138">
        <v>0</v>
      </c>
      <c r="L138">
        <v>29.737779141386653</v>
      </c>
      <c r="M138">
        <v>3600.6179999999999</v>
      </c>
      <c r="N138">
        <v>42.972050861419511</v>
      </c>
    </row>
    <row r="139" spans="1:14" hidden="1" x14ac:dyDescent="0.3">
      <c r="A139" s="1" t="s">
        <v>1185</v>
      </c>
      <c r="B139" s="1" t="s">
        <v>23</v>
      </c>
      <c r="C139" s="1" t="s">
        <v>24</v>
      </c>
      <c r="D139">
        <v>5</v>
      </c>
      <c r="E139" s="1" t="s">
        <v>17</v>
      </c>
      <c r="F139" s="1" t="s">
        <v>1136</v>
      </c>
      <c r="G139">
        <v>0</v>
      </c>
      <c r="H139" s="1" t="s">
        <v>17</v>
      </c>
      <c r="I139">
        <v>62.523183974412945</v>
      </c>
      <c r="J139" s="1" t="s">
        <v>1119</v>
      </c>
      <c r="K139">
        <v>0</v>
      </c>
      <c r="L139">
        <v>23.269953062444337</v>
      </c>
      <c r="M139">
        <v>3600.7449999999999</v>
      </c>
      <c r="N139">
        <v>39.253230911968608</v>
      </c>
    </row>
    <row r="140" spans="1:14" hidden="1" x14ac:dyDescent="0.3">
      <c r="A140" s="1" t="s">
        <v>841</v>
      </c>
      <c r="B140" s="1" t="s">
        <v>13</v>
      </c>
      <c r="C140" s="1" t="s">
        <v>14</v>
      </c>
      <c r="D140">
        <v>1</v>
      </c>
      <c r="E140" s="1" t="s">
        <v>16</v>
      </c>
      <c r="F140" s="1" t="s">
        <v>842</v>
      </c>
      <c r="G140">
        <v>0</v>
      </c>
      <c r="H140" s="1" t="s">
        <v>16</v>
      </c>
      <c r="I140">
        <v>16.901020957822439</v>
      </c>
      <c r="J140" s="1" t="s">
        <v>843</v>
      </c>
      <c r="K140">
        <v>0</v>
      </c>
      <c r="L140">
        <v>13.65585150405872</v>
      </c>
      <c r="M140">
        <v>556.48699999999997</v>
      </c>
      <c r="N140">
        <v>3.2451694537637183</v>
      </c>
    </row>
    <row r="141" spans="1:14" hidden="1" x14ac:dyDescent="0.3">
      <c r="A141" s="1" t="s">
        <v>862</v>
      </c>
      <c r="B141" s="1" t="s">
        <v>13</v>
      </c>
      <c r="C141" s="1" t="s">
        <v>14</v>
      </c>
      <c r="D141">
        <v>2</v>
      </c>
      <c r="E141" s="1" t="s">
        <v>16</v>
      </c>
      <c r="F141" s="1" t="s">
        <v>842</v>
      </c>
      <c r="G141">
        <v>0</v>
      </c>
      <c r="H141" s="1" t="s">
        <v>16</v>
      </c>
      <c r="I141">
        <v>18.971950064393521</v>
      </c>
      <c r="J141" s="1" t="s">
        <v>843</v>
      </c>
      <c r="K141">
        <v>0</v>
      </c>
      <c r="L141">
        <v>15.191026988511776</v>
      </c>
      <c r="M141">
        <v>1477.404</v>
      </c>
      <c r="N141">
        <v>3.7809230758817449</v>
      </c>
    </row>
    <row r="142" spans="1:14" hidden="1" x14ac:dyDescent="0.3">
      <c r="A142" s="1" t="s">
        <v>871</v>
      </c>
      <c r="B142" s="1" t="s">
        <v>13</v>
      </c>
      <c r="C142" s="1" t="s">
        <v>14</v>
      </c>
      <c r="D142">
        <v>3</v>
      </c>
      <c r="E142" s="1" t="s">
        <v>16</v>
      </c>
      <c r="F142" s="1" t="s">
        <v>842</v>
      </c>
      <c r="G142">
        <v>0</v>
      </c>
      <c r="H142" s="1" t="s">
        <v>16</v>
      </c>
      <c r="I142">
        <v>1.3297937619041584</v>
      </c>
      <c r="J142" s="1" t="s">
        <v>843</v>
      </c>
      <c r="K142">
        <v>0</v>
      </c>
      <c r="L142">
        <v>0</v>
      </c>
      <c r="M142">
        <v>285.40499999999997</v>
      </c>
      <c r="N142">
        <v>1.3297937619041584</v>
      </c>
    </row>
    <row r="143" spans="1:14" hidden="1" x14ac:dyDescent="0.3">
      <c r="A143" s="1" t="s">
        <v>881</v>
      </c>
      <c r="B143" s="1" t="s">
        <v>13</v>
      </c>
      <c r="C143" s="1" t="s">
        <v>14</v>
      </c>
      <c r="D143">
        <v>4</v>
      </c>
      <c r="E143" s="1" t="s">
        <v>16</v>
      </c>
      <c r="F143" s="1" t="s">
        <v>842</v>
      </c>
      <c r="G143">
        <v>0</v>
      </c>
      <c r="H143" s="1" t="s">
        <v>16</v>
      </c>
      <c r="I143">
        <v>2.3105343292147222</v>
      </c>
      <c r="J143" s="1" t="s">
        <v>843</v>
      </c>
      <c r="K143">
        <v>0</v>
      </c>
      <c r="L143">
        <v>0</v>
      </c>
      <c r="M143">
        <v>316.22300000000001</v>
      </c>
      <c r="N143">
        <v>2.3105343292147222</v>
      </c>
    </row>
    <row r="144" spans="1:14" hidden="1" x14ac:dyDescent="0.3">
      <c r="A144" s="1" t="s">
        <v>890</v>
      </c>
      <c r="B144" s="1" t="s">
        <v>13</v>
      </c>
      <c r="C144" s="1" t="s">
        <v>14</v>
      </c>
      <c r="D144">
        <v>5</v>
      </c>
      <c r="E144" s="1" t="s">
        <v>16</v>
      </c>
      <c r="F144" s="1" t="s">
        <v>842</v>
      </c>
      <c r="G144">
        <v>0</v>
      </c>
      <c r="H144" s="1" t="s">
        <v>16</v>
      </c>
      <c r="I144">
        <v>2.5877124926957351</v>
      </c>
      <c r="J144" s="1" t="s">
        <v>843</v>
      </c>
      <c r="K144">
        <v>0</v>
      </c>
      <c r="L144">
        <v>0</v>
      </c>
      <c r="M144">
        <v>244.60499999999999</v>
      </c>
      <c r="N144">
        <v>2.5877124926957351</v>
      </c>
    </row>
    <row r="145" spans="1:14" hidden="1" x14ac:dyDescent="0.3">
      <c r="A145" s="1" t="s">
        <v>901</v>
      </c>
      <c r="B145" s="1" t="s">
        <v>18</v>
      </c>
      <c r="C145" s="1" t="s">
        <v>19</v>
      </c>
      <c r="D145">
        <v>1</v>
      </c>
      <c r="E145" s="1" t="s">
        <v>16</v>
      </c>
      <c r="F145" s="1" t="s">
        <v>842</v>
      </c>
      <c r="G145">
        <v>0</v>
      </c>
      <c r="H145" s="1" t="s">
        <v>16</v>
      </c>
      <c r="I145">
        <v>29.649359565613587</v>
      </c>
      <c r="J145" s="1" t="s">
        <v>843</v>
      </c>
      <c r="K145">
        <v>0</v>
      </c>
      <c r="L145">
        <v>15.017573519538377</v>
      </c>
      <c r="M145">
        <v>3600.404</v>
      </c>
      <c r="N145">
        <v>14.631786046075209</v>
      </c>
    </row>
    <row r="146" spans="1:14" hidden="1" x14ac:dyDescent="0.3">
      <c r="A146" s="1" t="s">
        <v>910</v>
      </c>
      <c r="B146" s="1" t="s">
        <v>18</v>
      </c>
      <c r="C146" s="1" t="s">
        <v>19</v>
      </c>
      <c r="D146">
        <v>2</v>
      </c>
      <c r="E146" s="1" t="s">
        <v>16</v>
      </c>
      <c r="F146" s="1" t="s">
        <v>842</v>
      </c>
      <c r="G146">
        <v>0</v>
      </c>
      <c r="H146" s="1" t="s">
        <v>16</v>
      </c>
      <c r="I146">
        <v>47.159099023827999</v>
      </c>
      <c r="J146" s="1" t="s">
        <v>843</v>
      </c>
      <c r="K146">
        <v>0</v>
      </c>
      <c r="L146">
        <v>31.323137896476709</v>
      </c>
      <c r="M146">
        <v>3600.5390000000002</v>
      </c>
      <c r="N146">
        <v>15.835961127351288</v>
      </c>
    </row>
    <row r="147" spans="1:14" hidden="1" x14ac:dyDescent="0.3">
      <c r="A147" s="1" t="s">
        <v>919</v>
      </c>
      <c r="B147" s="1" t="s">
        <v>18</v>
      </c>
      <c r="C147" s="1" t="s">
        <v>19</v>
      </c>
      <c r="D147">
        <v>3</v>
      </c>
      <c r="E147" s="1" t="s">
        <v>16</v>
      </c>
      <c r="F147" s="1" t="s">
        <v>842</v>
      </c>
      <c r="G147">
        <v>0</v>
      </c>
      <c r="H147" s="1" t="s">
        <v>16</v>
      </c>
      <c r="I147">
        <v>13.41389757073101</v>
      </c>
      <c r="J147" s="1" t="s">
        <v>843</v>
      </c>
      <c r="K147">
        <v>0</v>
      </c>
      <c r="L147">
        <v>0</v>
      </c>
      <c r="M147">
        <v>3600.7429999999999</v>
      </c>
      <c r="N147">
        <v>13.41389757073101</v>
      </c>
    </row>
    <row r="148" spans="1:14" hidden="1" x14ac:dyDescent="0.3">
      <c r="A148" s="1" t="s">
        <v>929</v>
      </c>
      <c r="B148" s="1" t="s">
        <v>18</v>
      </c>
      <c r="C148" s="1" t="s">
        <v>19</v>
      </c>
      <c r="D148">
        <v>4</v>
      </c>
      <c r="E148" s="1" t="s">
        <v>16</v>
      </c>
      <c r="F148" s="1" t="s">
        <v>842</v>
      </c>
      <c r="G148">
        <v>0</v>
      </c>
      <c r="H148" s="1" t="s">
        <v>16</v>
      </c>
      <c r="I148">
        <v>11.944114975004219</v>
      </c>
      <c r="J148" s="1" t="s">
        <v>843</v>
      </c>
      <c r="K148">
        <v>0</v>
      </c>
      <c r="L148">
        <v>0</v>
      </c>
      <c r="M148">
        <v>3600.6</v>
      </c>
      <c r="N148">
        <v>11.944114975004219</v>
      </c>
    </row>
    <row r="149" spans="1:14" hidden="1" x14ac:dyDescent="0.3">
      <c r="A149" s="1" t="s">
        <v>940</v>
      </c>
      <c r="B149" s="1" t="s">
        <v>18</v>
      </c>
      <c r="C149" s="1" t="s">
        <v>19</v>
      </c>
      <c r="D149">
        <v>5</v>
      </c>
      <c r="E149" s="1" t="s">
        <v>16</v>
      </c>
      <c r="F149" s="1" t="s">
        <v>842</v>
      </c>
      <c r="G149">
        <v>0</v>
      </c>
      <c r="H149" s="1" t="s">
        <v>16</v>
      </c>
      <c r="I149">
        <v>25.06855189878258</v>
      </c>
      <c r="J149" s="1" t="s">
        <v>843</v>
      </c>
      <c r="K149">
        <v>0</v>
      </c>
      <c r="L149">
        <v>12.047395139822598</v>
      </c>
      <c r="M149">
        <v>3600.6909999999998</v>
      </c>
      <c r="N149">
        <v>13.021156758959981</v>
      </c>
    </row>
    <row r="150" spans="1:14" hidden="1" x14ac:dyDescent="0.3">
      <c r="A150" s="1" t="s">
        <v>956</v>
      </c>
      <c r="B150" s="1" t="s">
        <v>20</v>
      </c>
      <c r="C150" s="1" t="s">
        <v>19</v>
      </c>
      <c r="D150">
        <v>1</v>
      </c>
      <c r="E150" s="1" t="s">
        <v>16</v>
      </c>
      <c r="F150" s="1" t="s">
        <v>842</v>
      </c>
      <c r="G150">
        <v>0</v>
      </c>
      <c r="H150" s="1" t="s">
        <v>16</v>
      </c>
      <c r="I150">
        <v>215.90947118725813</v>
      </c>
      <c r="J150" s="1" t="s">
        <v>843</v>
      </c>
      <c r="K150">
        <v>0</v>
      </c>
      <c r="L150">
        <v>133.36280591243752</v>
      </c>
      <c r="M150">
        <v>3606.5189999999998</v>
      </c>
      <c r="N150">
        <v>82.546665274820612</v>
      </c>
    </row>
    <row r="151" spans="1:14" hidden="1" x14ac:dyDescent="0.3">
      <c r="A151" s="1" t="s">
        <v>972</v>
      </c>
      <c r="B151" s="1" t="s">
        <v>20</v>
      </c>
      <c r="C151" s="1" t="s">
        <v>19</v>
      </c>
      <c r="D151">
        <v>2</v>
      </c>
      <c r="E151" s="1" t="s">
        <v>16</v>
      </c>
      <c r="F151" s="1" t="s">
        <v>842</v>
      </c>
      <c r="G151">
        <v>0</v>
      </c>
      <c r="H151" s="1" t="s">
        <v>16</v>
      </c>
      <c r="I151">
        <v>179.49015302489909</v>
      </c>
      <c r="J151" s="1" t="s">
        <v>843</v>
      </c>
      <c r="K151">
        <v>0</v>
      </c>
      <c r="L151">
        <v>88.621475447711688</v>
      </c>
      <c r="M151">
        <v>3602.0230000000001</v>
      </c>
      <c r="N151">
        <v>90.868677577187398</v>
      </c>
    </row>
    <row r="152" spans="1:14" hidden="1" x14ac:dyDescent="0.3">
      <c r="A152" s="1" t="s">
        <v>988</v>
      </c>
      <c r="B152" s="1" t="s">
        <v>20</v>
      </c>
      <c r="C152" s="1" t="s">
        <v>19</v>
      </c>
      <c r="D152">
        <v>3</v>
      </c>
      <c r="E152" s="1" t="s">
        <v>16</v>
      </c>
      <c r="F152" s="1" t="s">
        <v>842</v>
      </c>
      <c r="G152">
        <v>0</v>
      </c>
      <c r="H152" s="1" t="s">
        <v>16</v>
      </c>
      <c r="I152">
        <v>82.299807066138413</v>
      </c>
      <c r="J152" s="1" t="s">
        <v>843</v>
      </c>
      <c r="K152">
        <v>0</v>
      </c>
      <c r="L152">
        <v>19.92851570238291</v>
      </c>
      <c r="M152">
        <v>3602.0680000000002</v>
      </c>
      <c r="N152">
        <v>62.371291363755496</v>
      </c>
    </row>
    <row r="153" spans="1:14" hidden="1" x14ac:dyDescent="0.3">
      <c r="A153" s="1" t="s">
        <v>1036</v>
      </c>
      <c r="B153" s="1" t="s">
        <v>21</v>
      </c>
      <c r="C153" s="1" t="s">
        <v>22</v>
      </c>
      <c r="D153">
        <v>1</v>
      </c>
      <c r="E153" s="1" t="s">
        <v>16</v>
      </c>
      <c r="F153" s="1" t="s">
        <v>842</v>
      </c>
      <c r="G153">
        <v>0</v>
      </c>
      <c r="H153" s="1" t="s">
        <v>16</v>
      </c>
      <c r="I153">
        <v>60.840492019270592</v>
      </c>
      <c r="J153" s="1" t="s">
        <v>843</v>
      </c>
      <c r="K153">
        <v>0</v>
      </c>
      <c r="L153">
        <v>30.598458673058175</v>
      </c>
      <c r="M153">
        <v>3601.4029999999998</v>
      </c>
      <c r="N153">
        <v>30.242033346212416</v>
      </c>
    </row>
    <row r="154" spans="1:14" hidden="1" x14ac:dyDescent="0.3">
      <c r="A154" s="1" t="s">
        <v>1047</v>
      </c>
      <c r="B154" s="1" t="s">
        <v>21</v>
      </c>
      <c r="C154" s="1" t="s">
        <v>22</v>
      </c>
      <c r="D154">
        <v>2</v>
      </c>
      <c r="E154" s="1" t="s">
        <v>16</v>
      </c>
      <c r="F154" s="1" t="s">
        <v>842</v>
      </c>
      <c r="G154">
        <v>0</v>
      </c>
      <c r="H154" s="1" t="s">
        <v>16</v>
      </c>
      <c r="I154">
        <v>66.967026566713628</v>
      </c>
      <c r="J154" s="1" t="s">
        <v>843</v>
      </c>
      <c r="K154">
        <v>0</v>
      </c>
      <c r="L154">
        <v>38.626333639058132</v>
      </c>
      <c r="M154">
        <v>3600.402</v>
      </c>
      <c r="N154">
        <v>28.340692927655496</v>
      </c>
    </row>
    <row r="155" spans="1:14" hidden="1" x14ac:dyDescent="0.3">
      <c r="A155" s="1" t="s">
        <v>1061</v>
      </c>
      <c r="B155" s="1" t="s">
        <v>21</v>
      </c>
      <c r="C155" s="1" t="s">
        <v>22</v>
      </c>
      <c r="D155">
        <v>3</v>
      </c>
      <c r="E155" s="1" t="s">
        <v>16</v>
      </c>
      <c r="F155" s="1" t="s">
        <v>842</v>
      </c>
      <c r="G155">
        <v>0</v>
      </c>
      <c r="H155" s="1" t="s">
        <v>16</v>
      </c>
      <c r="I155">
        <v>56.141346469862583</v>
      </c>
      <c r="J155" s="1" t="s">
        <v>843</v>
      </c>
      <c r="K155">
        <v>0</v>
      </c>
      <c r="L155">
        <v>22.546752927329283</v>
      </c>
      <c r="M155">
        <v>3600.7820000000002</v>
      </c>
      <c r="N155">
        <v>33.594593542533296</v>
      </c>
    </row>
    <row r="156" spans="1:14" hidden="1" x14ac:dyDescent="0.3">
      <c r="A156" s="1" t="s">
        <v>1077</v>
      </c>
      <c r="B156" s="1" t="s">
        <v>21</v>
      </c>
      <c r="C156" s="1" t="s">
        <v>22</v>
      </c>
      <c r="D156">
        <v>4</v>
      </c>
      <c r="E156" s="1" t="s">
        <v>16</v>
      </c>
      <c r="F156" s="1" t="s">
        <v>842</v>
      </c>
      <c r="G156">
        <v>0</v>
      </c>
      <c r="H156" s="1" t="s">
        <v>16</v>
      </c>
      <c r="I156">
        <v>77.585697790353208</v>
      </c>
      <c r="J156" s="1" t="s">
        <v>843</v>
      </c>
      <c r="K156">
        <v>0</v>
      </c>
      <c r="L156">
        <v>48.184463276919352</v>
      </c>
      <c r="M156">
        <v>3600.5329999999999</v>
      </c>
      <c r="N156">
        <v>29.401234513433863</v>
      </c>
    </row>
    <row r="157" spans="1:14" hidden="1" x14ac:dyDescent="0.3">
      <c r="A157" s="1" t="s">
        <v>1093</v>
      </c>
      <c r="B157" s="1" t="s">
        <v>21</v>
      </c>
      <c r="C157" s="1" t="s">
        <v>22</v>
      </c>
      <c r="D157">
        <v>5</v>
      </c>
      <c r="E157" s="1" t="s">
        <v>16</v>
      </c>
      <c r="F157" s="1" t="s">
        <v>842</v>
      </c>
      <c r="G157">
        <v>0</v>
      </c>
      <c r="H157" s="1" t="s">
        <v>16</v>
      </c>
      <c r="I157">
        <v>51.951864457417614</v>
      </c>
      <c r="J157" s="1" t="s">
        <v>843</v>
      </c>
      <c r="K157">
        <v>0</v>
      </c>
      <c r="L157">
        <v>22.067551654184825</v>
      </c>
      <c r="M157">
        <v>3600.6579999999999</v>
      </c>
      <c r="N157">
        <v>29.884312803232785</v>
      </c>
    </row>
    <row r="158" spans="1:14" hidden="1" x14ac:dyDescent="0.3">
      <c r="A158" s="1" t="s">
        <v>1277</v>
      </c>
      <c r="B158" s="1" t="s">
        <v>26</v>
      </c>
      <c r="C158" s="1" t="s">
        <v>27</v>
      </c>
      <c r="D158">
        <v>1</v>
      </c>
      <c r="E158" s="1" t="s">
        <v>16</v>
      </c>
      <c r="F158" s="1" t="s">
        <v>842</v>
      </c>
      <c r="G158">
        <v>0</v>
      </c>
      <c r="H158" s="1" t="s">
        <v>16</v>
      </c>
      <c r="I158">
        <v>112.86715729081214</v>
      </c>
      <c r="J158" s="1" t="s">
        <v>843</v>
      </c>
      <c r="K158">
        <v>0</v>
      </c>
      <c r="L158">
        <v>54.746877162752938</v>
      </c>
      <c r="M158">
        <v>3600.9209999999998</v>
      </c>
      <c r="N158">
        <v>58.120280128059214</v>
      </c>
    </row>
    <row r="159" spans="1:14" hidden="1" x14ac:dyDescent="0.3">
      <c r="A159" s="1" t="s">
        <v>1299</v>
      </c>
      <c r="B159" s="1" t="s">
        <v>26</v>
      </c>
      <c r="C159" s="1" t="s">
        <v>27</v>
      </c>
      <c r="D159">
        <v>2</v>
      </c>
      <c r="E159" s="1" t="s">
        <v>16</v>
      </c>
      <c r="F159" s="1" t="s">
        <v>842</v>
      </c>
      <c r="G159">
        <v>0</v>
      </c>
      <c r="H159" s="1" t="s">
        <v>16</v>
      </c>
      <c r="I159">
        <v>99.239480079045549</v>
      </c>
      <c r="J159" s="1" t="s">
        <v>843</v>
      </c>
      <c r="K159">
        <v>0</v>
      </c>
      <c r="L159">
        <v>39.125362848434555</v>
      </c>
      <c r="M159">
        <v>3601.319</v>
      </c>
      <c r="N159">
        <v>60.114117230610994</v>
      </c>
    </row>
    <row r="160" spans="1:14" hidden="1" x14ac:dyDescent="0.3">
      <c r="A160" s="1" t="s">
        <v>1316</v>
      </c>
      <c r="B160" s="1" t="s">
        <v>26</v>
      </c>
      <c r="C160" s="1" t="s">
        <v>27</v>
      </c>
      <c r="D160">
        <v>3</v>
      </c>
      <c r="E160" s="1" t="s">
        <v>16</v>
      </c>
      <c r="F160" s="1" t="s">
        <v>842</v>
      </c>
      <c r="G160">
        <v>0</v>
      </c>
      <c r="H160" s="1" t="s">
        <v>16</v>
      </c>
      <c r="I160">
        <v>79.214841100549478</v>
      </c>
      <c r="J160" s="1" t="s">
        <v>843</v>
      </c>
      <c r="K160">
        <v>0</v>
      </c>
      <c r="L160">
        <v>21.76436430081004</v>
      </c>
      <c r="M160">
        <v>3601.34</v>
      </c>
      <c r="N160">
        <v>57.450476799739441</v>
      </c>
    </row>
    <row r="161" spans="1:14" hidden="1" x14ac:dyDescent="0.3">
      <c r="A161" s="1" t="s">
        <v>1337</v>
      </c>
      <c r="B161" s="1" t="s">
        <v>26</v>
      </c>
      <c r="C161" s="1" t="s">
        <v>27</v>
      </c>
      <c r="D161">
        <v>4</v>
      </c>
      <c r="E161" s="1" t="s">
        <v>16</v>
      </c>
      <c r="F161" s="1" t="s">
        <v>842</v>
      </c>
      <c r="G161">
        <v>0</v>
      </c>
      <c r="H161" s="1" t="s">
        <v>16</v>
      </c>
      <c r="I161">
        <v>88.161519835277346</v>
      </c>
      <c r="J161" s="1" t="s">
        <v>843</v>
      </c>
      <c r="K161">
        <v>0</v>
      </c>
      <c r="L161">
        <v>20.69352797121196</v>
      </c>
      <c r="M161">
        <v>3600.9459999999999</v>
      </c>
      <c r="N161">
        <v>67.467991864065382</v>
      </c>
    </row>
    <row r="162" spans="1:14" hidden="1" x14ac:dyDescent="0.3">
      <c r="A162" s="1" t="s">
        <v>1359</v>
      </c>
      <c r="B162" s="1" t="s">
        <v>26</v>
      </c>
      <c r="C162" s="1" t="s">
        <v>27</v>
      </c>
      <c r="D162">
        <v>5</v>
      </c>
      <c r="E162" s="1" t="s">
        <v>16</v>
      </c>
      <c r="F162" s="1" t="s">
        <v>842</v>
      </c>
      <c r="G162">
        <v>0</v>
      </c>
      <c r="H162" s="1" t="s">
        <v>16</v>
      </c>
      <c r="I162">
        <v>92.505733490987865</v>
      </c>
      <c r="J162" s="1" t="s">
        <v>843</v>
      </c>
      <c r="K162">
        <v>0</v>
      </c>
      <c r="L162">
        <v>43.930702756474389</v>
      </c>
      <c r="M162">
        <v>3601.018</v>
      </c>
      <c r="N162">
        <v>48.575030734513483</v>
      </c>
    </row>
    <row r="163" spans="1:14" hidden="1" x14ac:dyDescent="0.3">
      <c r="A163" s="1" t="s">
        <v>1003</v>
      </c>
      <c r="B163" s="1" t="s">
        <v>20</v>
      </c>
      <c r="C163" s="1" t="s">
        <v>19</v>
      </c>
      <c r="D163">
        <v>4</v>
      </c>
      <c r="E163" s="1" t="s">
        <v>16</v>
      </c>
      <c r="F163" s="1" t="s">
        <v>1004</v>
      </c>
      <c r="G163">
        <v>0</v>
      </c>
      <c r="H163" s="1" t="s">
        <v>16</v>
      </c>
      <c r="I163">
        <v>78.160693059089098</v>
      </c>
      <c r="J163" s="1" t="s">
        <v>1005</v>
      </c>
      <c r="K163">
        <v>0</v>
      </c>
      <c r="L163">
        <v>12.58973460988136</v>
      </c>
      <c r="M163">
        <v>3601.2330000000002</v>
      </c>
      <c r="N163">
        <v>65.570958449207737</v>
      </c>
    </row>
    <row r="164" spans="1:14" hidden="1" x14ac:dyDescent="0.3">
      <c r="A164" s="1" t="s">
        <v>1019</v>
      </c>
      <c r="B164" s="1" t="s">
        <v>20</v>
      </c>
      <c r="C164" s="1" t="s">
        <v>19</v>
      </c>
      <c r="D164">
        <v>5</v>
      </c>
      <c r="E164" s="1" t="s">
        <v>16</v>
      </c>
      <c r="F164" s="1" t="s">
        <v>1020</v>
      </c>
      <c r="G164">
        <v>0</v>
      </c>
      <c r="H164" s="1" t="s">
        <v>16</v>
      </c>
      <c r="I164">
        <v>151.6737523862397</v>
      </c>
      <c r="J164" s="1" t="s">
        <v>1021</v>
      </c>
      <c r="K164">
        <v>0</v>
      </c>
      <c r="L164">
        <v>64.148326247321961</v>
      </c>
      <c r="M164">
        <v>3606.5970000000002</v>
      </c>
      <c r="N164">
        <v>87.525426138917751</v>
      </c>
    </row>
    <row r="165" spans="1:14" hidden="1" x14ac:dyDescent="0.3">
      <c r="A165" s="1" t="s">
        <v>1194</v>
      </c>
      <c r="B165" s="1" t="s">
        <v>25</v>
      </c>
      <c r="C165" s="1" t="s">
        <v>24</v>
      </c>
      <c r="D165">
        <v>1</v>
      </c>
      <c r="E165" s="1" t="s">
        <v>16</v>
      </c>
      <c r="F165" s="1" t="s">
        <v>1195</v>
      </c>
      <c r="G165">
        <v>0</v>
      </c>
      <c r="H165" s="1" t="s">
        <v>16</v>
      </c>
      <c r="I165">
        <v>365.42555184390181</v>
      </c>
      <c r="J165" s="1" t="s">
        <v>1196</v>
      </c>
      <c r="K165">
        <v>0</v>
      </c>
      <c r="L165">
        <v>130.80711346469624</v>
      </c>
      <c r="M165">
        <v>3603.4389999999999</v>
      </c>
      <c r="N165">
        <v>234.61843837920557</v>
      </c>
    </row>
    <row r="166" spans="1:14" hidden="1" x14ac:dyDescent="0.3">
      <c r="A166" s="1" t="s">
        <v>1207</v>
      </c>
      <c r="B166" s="1" t="s">
        <v>25</v>
      </c>
      <c r="C166" s="1" t="s">
        <v>24</v>
      </c>
      <c r="D166">
        <v>2</v>
      </c>
      <c r="E166" s="1" t="s">
        <v>16</v>
      </c>
      <c r="F166" s="1" t="s">
        <v>1208</v>
      </c>
      <c r="G166">
        <v>20</v>
      </c>
      <c r="H166" s="1" t="s">
        <v>16</v>
      </c>
      <c r="I166">
        <v>469.24892154792417</v>
      </c>
      <c r="J166" s="1" t="s">
        <v>1209</v>
      </c>
      <c r="K166">
        <v>0</v>
      </c>
      <c r="L166">
        <v>197.79378068383645</v>
      </c>
      <c r="M166">
        <v>3600.8969999999999</v>
      </c>
      <c r="N166">
        <v>251.4551408640877</v>
      </c>
    </row>
    <row r="167" spans="1:14" hidden="1" x14ac:dyDescent="0.3">
      <c r="A167" s="1" t="s">
        <v>1220</v>
      </c>
      <c r="B167" s="1" t="s">
        <v>25</v>
      </c>
      <c r="C167" s="1" t="s">
        <v>24</v>
      </c>
      <c r="D167">
        <v>3</v>
      </c>
      <c r="E167" s="1" t="s">
        <v>16</v>
      </c>
      <c r="F167" s="1" t="s">
        <v>1221</v>
      </c>
      <c r="G167">
        <v>20</v>
      </c>
      <c r="H167" s="1" t="s">
        <v>16</v>
      </c>
      <c r="I167">
        <v>325.9802054681798</v>
      </c>
      <c r="J167" s="1" t="s">
        <v>1222</v>
      </c>
      <c r="K167">
        <v>0</v>
      </c>
      <c r="L167">
        <v>89.152096735594682</v>
      </c>
      <c r="M167">
        <v>3613.4090000000001</v>
      </c>
      <c r="N167">
        <v>216.82810873258512</v>
      </c>
    </row>
    <row r="168" spans="1:14" hidden="1" x14ac:dyDescent="0.3">
      <c r="A168" s="1" t="s">
        <v>1234</v>
      </c>
      <c r="B168" s="1" t="s">
        <v>25</v>
      </c>
      <c r="C168" s="1" t="s">
        <v>24</v>
      </c>
      <c r="D168">
        <v>4</v>
      </c>
      <c r="E168" s="1" t="s">
        <v>16</v>
      </c>
      <c r="F168" s="1" t="s">
        <v>1235</v>
      </c>
      <c r="G168">
        <v>40</v>
      </c>
      <c r="H168" s="1" t="s">
        <v>16</v>
      </c>
      <c r="I168">
        <v>626.22598776761401</v>
      </c>
      <c r="J168" s="1" t="s">
        <v>1236</v>
      </c>
      <c r="K168">
        <v>0</v>
      </c>
      <c r="L168">
        <v>334.34907282390679</v>
      </c>
      <c r="M168">
        <v>3602.8850000000002</v>
      </c>
      <c r="N168">
        <v>251.87691494370725</v>
      </c>
    </row>
    <row r="169" spans="1:14" hidden="1" x14ac:dyDescent="0.3">
      <c r="A169" s="1" t="s">
        <v>1255</v>
      </c>
      <c r="B169" s="1" t="s">
        <v>25</v>
      </c>
      <c r="C169" s="1" t="s">
        <v>24</v>
      </c>
      <c r="D169">
        <v>5</v>
      </c>
      <c r="E169" s="1" t="s">
        <v>16</v>
      </c>
      <c r="F169" s="1" t="s">
        <v>1256</v>
      </c>
      <c r="G169">
        <v>20</v>
      </c>
      <c r="H169" s="1" t="s">
        <v>16</v>
      </c>
      <c r="I169">
        <v>481.79067174898785</v>
      </c>
      <c r="J169" s="1" t="s">
        <v>1236</v>
      </c>
      <c r="K169">
        <v>0</v>
      </c>
      <c r="L169">
        <v>222.57966432082648</v>
      </c>
      <c r="M169">
        <v>3610.145</v>
      </c>
      <c r="N169">
        <v>239.21100742816137</v>
      </c>
    </row>
    <row r="170" spans="1:14" hidden="1" x14ac:dyDescent="0.3">
      <c r="A170" s="1" t="s">
        <v>1371</v>
      </c>
      <c r="B170" s="1" t="s">
        <v>28</v>
      </c>
      <c r="C170" s="1" t="s">
        <v>29</v>
      </c>
      <c r="D170">
        <v>1</v>
      </c>
      <c r="E170" s="1" t="s">
        <v>16</v>
      </c>
      <c r="F170" s="1" t="s">
        <v>1372</v>
      </c>
      <c r="G170">
        <v>40</v>
      </c>
      <c r="H170" s="1" t="s">
        <v>16</v>
      </c>
      <c r="I170">
        <v>839.5012482956912</v>
      </c>
      <c r="J170" s="1" t="s">
        <v>1236</v>
      </c>
      <c r="K170">
        <v>0</v>
      </c>
      <c r="L170">
        <v>345.30315990358082</v>
      </c>
      <c r="M170">
        <v>3601.9810000000002</v>
      </c>
      <c r="N170">
        <v>454.19808839211038</v>
      </c>
    </row>
    <row r="171" spans="1:14" hidden="1" x14ac:dyDescent="0.3">
      <c r="A171" s="1" t="s">
        <v>1387</v>
      </c>
      <c r="B171" s="1" t="s">
        <v>28</v>
      </c>
      <c r="C171" s="1" t="s">
        <v>29</v>
      </c>
      <c r="D171">
        <v>2</v>
      </c>
      <c r="E171" s="1" t="s">
        <v>16</v>
      </c>
      <c r="F171" s="1" t="s">
        <v>1388</v>
      </c>
      <c r="G171">
        <v>20</v>
      </c>
      <c r="H171" s="1" t="s">
        <v>16</v>
      </c>
      <c r="I171">
        <v>975.78005901424922</v>
      </c>
      <c r="J171" s="1" t="s">
        <v>1236</v>
      </c>
      <c r="K171">
        <v>0</v>
      </c>
      <c r="L171">
        <v>516.20430451078255</v>
      </c>
      <c r="M171">
        <v>3602.0189999999998</v>
      </c>
      <c r="N171">
        <v>439.57575450346673</v>
      </c>
    </row>
    <row r="172" spans="1:14" hidden="1" x14ac:dyDescent="0.3">
      <c r="A172" s="1" t="s">
        <v>1400</v>
      </c>
      <c r="B172" s="1" t="s">
        <v>28</v>
      </c>
      <c r="C172" s="1" t="s">
        <v>29</v>
      </c>
      <c r="D172">
        <v>3</v>
      </c>
      <c r="E172" s="1" t="s">
        <v>16</v>
      </c>
      <c r="F172" s="1" t="s">
        <v>1401</v>
      </c>
      <c r="G172">
        <v>40</v>
      </c>
      <c r="H172" s="1" t="s">
        <v>16</v>
      </c>
      <c r="I172">
        <v>883.07451903219942</v>
      </c>
      <c r="J172" s="1" t="s">
        <v>1236</v>
      </c>
      <c r="K172">
        <v>0</v>
      </c>
      <c r="L172">
        <v>409.8944516333824</v>
      </c>
      <c r="M172">
        <v>3602.1880000000001</v>
      </c>
      <c r="N172">
        <v>433.18006739881702</v>
      </c>
    </row>
    <row r="173" spans="1:14" hidden="1" x14ac:dyDescent="0.3">
      <c r="A173" s="1" t="s">
        <v>1413</v>
      </c>
      <c r="B173" s="1" t="s">
        <v>28</v>
      </c>
      <c r="C173" s="1" t="s">
        <v>29</v>
      </c>
      <c r="D173">
        <v>4</v>
      </c>
      <c r="E173" s="1" t="s">
        <v>16</v>
      </c>
      <c r="F173" s="1" t="s">
        <v>1414</v>
      </c>
      <c r="G173">
        <v>20</v>
      </c>
      <c r="H173" s="1" t="s">
        <v>16</v>
      </c>
      <c r="I173">
        <v>733.25748404473097</v>
      </c>
      <c r="J173" s="1" t="s">
        <v>1236</v>
      </c>
      <c r="K173">
        <v>0</v>
      </c>
      <c r="L173">
        <v>285.0166270414515</v>
      </c>
      <c r="M173">
        <v>3606.6469999999999</v>
      </c>
      <c r="N173">
        <v>428.24085700327942</v>
      </c>
    </row>
    <row r="174" spans="1:14" hidden="1" x14ac:dyDescent="0.3">
      <c r="A174" s="1" t="s">
        <v>1423</v>
      </c>
      <c r="B174" s="1" t="s">
        <v>28</v>
      </c>
      <c r="C174" s="1" t="s">
        <v>29</v>
      </c>
      <c r="D174">
        <v>5</v>
      </c>
      <c r="E174" s="1" t="s">
        <v>16</v>
      </c>
      <c r="F174" s="1" t="s">
        <v>1424</v>
      </c>
      <c r="G174">
        <v>40</v>
      </c>
      <c r="H174" s="1" t="s">
        <v>16</v>
      </c>
      <c r="I174">
        <v>867.5303509629473</v>
      </c>
      <c r="J174" s="1" t="s">
        <v>1236</v>
      </c>
      <c r="K174">
        <v>0</v>
      </c>
      <c r="L174">
        <v>403.13481861436333</v>
      </c>
      <c r="M174">
        <v>3601.2939999999999</v>
      </c>
      <c r="N174">
        <v>424.39553234858403</v>
      </c>
    </row>
    <row r="175" spans="1:14" hidden="1" x14ac:dyDescent="0.3">
      <c r="A175" s="1" t="s">
        <v>1435</v>
      </c>
      <c r="B175" s="1" t="s">
        <v>30</v>
      </c>
      <c r="C175" s="1" t="s">
        <v>31</v>
      </c>
      <c r="D175">
        <v>1</v>
      </c>
      <c r="E175" s="1" t="s">
        <v>16</v>
      </c>
      <c r="F175" s="1" t="s">
        <v>1436</v>
      </c>
      <c r="G175">
        <v>40</v>
      </c>
      <c r="H175" s="1" t="s">
        <v>16</v>
      </c>
      <c r="I175">
        <v>1162.1379706775513</v>
      </c>
      <c r="J175" s="1" t="s">
        <v>1236</v>
      </c>
      <c r="K175">
        <v>0</v>
      </c>
      <c r="L175">
        <v>443.08078396818388</v>
      </c>
      <c r="M175">
        <v>3602.9209999999998</v>
      </c>
      <c r="N175">
        <v>679.05718670936733</v>
      </c>
    </row>
    <row r="176" spans="1:14" hidden="1" x14ac:dyDescent="0.3">
      <c r="A176" s="1" t="s">
        <v>1445</v>
      </c>
      <c r="B176" s="1" t="s">
        <v>30</v>
      </c>
      <c r="C176" s="1" t="s">
        <v>31</v>
      </c>
      <c r="D176">
        <v>2</v>
      </c>
      <c r="E176" s="1" t="s">
        <v>16</v>
      </c>
      <c r="F176" s="1" t="s">
        <v>1446</v>
      </c>
      <c r="G176">
        <v>40</v>
      </c>
      <c r="H176" s="1" t="s">
        <v>16</v>
      </c>
      <c r="I176">
        <v>1319.6810937880236</v>
      </c>
      <c r="J176" s="1" t="s">
        <v>1236</v>
      </c>
      <c r="K176">
        <v>0</v>
      </c>
      <c r="L176">
        <v>612.47591725646839</v>
      </c>
      <c r="M176">
        <v>3602.35</v>
      </c>
      <c r="N176">
        <v>667.20517653155537</v>
      </c>
    </row>
    <row r="177" spans="1:14" hidden="1" x14ac:dyDescent="0.3">
      <c r="A177" s="1" t="s">
        <v>1456</v>
      </c>
      <c r="B177" s="1" t="s">
        <v>30</v>
      </c>
      <c r="C177" s="1" t="s">
        <v>31</v>
      </c>
      <c r="D177">
        <v>3</v>
      </c>
      <c r="E177" s="1" t="s">
        <v>16</v>
      </c>
      <c r="F177" s="1" t="s">
        <v>1457</v>
      </c>
      <c r="G177">
        <v>40</v>
      </c>
      <c r="H177" s="1" t="s">
        <v>16</v>
      </c>
      <c r="I177">
        <v>1199.5400748055888</v>
      </c>
      <c r="J177" s="1" t="s">
        <v>1236</v>
      </c>
      <c r="K177">
        <v>0</v>
      </c>
      <c r="L177">
        <v>466.57991674434192</v>
      </c>
      <c r="M177">
        <v>3602.741</v>
      </c>
      <c r="N177">
        <v>692.96015806124694</v>
      </c>
    </row>
    <row r="178" spans="1:14" hidden="1" x14ac:dyDescent="0.3">
      <c r="A178" s="1" t="s">
        <v>1469</v>
      </c>
      <c r="B178" s="1" t="s">
        <v>30</v>
      </c>
      <c r="C178" s="1" t="s">
        <v>31</v>
      </c>
      <c r="D178">
        <v>4</v>
      </c>
      <c r="E178" s="1" t="s">
        <v>16</v>
      </c>
      <c r="F178" s="1" t="s">
        <v>1470</v>
      </c>
      <c r="G178">
        <v>40</v>
      </c>
      <c r="H178" s="1" t="s">
        <v>16</v>
      </c>
      <c r="I178">
        <v>1260.4392710252819</v>
      </c>
      <c r="J178" s="1" t="s">
        <v>1236</v>
      </c>
      <c r="K178">
        <v>0</v>
      </c>
      <c r="L178">
        <v>496.88565468150023</v>
      </c>
      <c r="M178">
        <v>3602.2420000000002</v>
      </c>
      <c r="N178">
        <v>723.55361634378175</v>
      </c>
    </row>
    <row r="179" spans="1:14" hidden="1" x14ac:dyDescent="0.3">
      <c r="A179" s="1" t="s">
        <v>1483</v>
      </c>
      <c r="B179" s="1" t="s">
        <v>30</v>
      </c>
      <c r="C179" s="1" t="s">
        <v>31</v>
      </c>
      <c r="D179">
        <v>5</v>
      </c>
      <c r="E179" s="1" t="s">
        <v>16</v>
      </c>
      <c r="F179" s="1" t="s">
        <v>1484</v>
      </c>
      <c r="G179">
        <v>40</v>
      </c>
      <c r="H179" s="1" t="s">
        <v>16</v>
      </c>
      <c r="I179">
        <v>1522.8850298446728</v>
      </c>
      <c r="J179" s="1" t="s">
        <v>1236</v>
      </c>
      <c r="K179">
        <v>0</v>
      </c>
      <c r="L179">
        <v>805.77315693937271</v>
      </c>
      <c r="M179">
        <v>3602.377</v>
      </c>
      <c r="N179">
        <v>677.11187290529995</v>
      </c>
    </row>
    <row r="180" spans="1:14" hidden="1" x14ac:dyDescent="0.3">
      <c r="A180" s="1" t="s">
        <v>1499</v>
      </c>
      <c r="B180" s="1" t="s">
        <v>32</v>
      </c>
      <c r="C180" s="1" t="s">
        <v>33</v>
      </c>
      <c r="D180">
        <v>1</v>
      </c>
      <c r="E180" s="1" t="s">
        <v>16</v>
      </c>
      <c r="F180" s="1" t="s">
        <v>1500</v>
      </c>
      <c r="G180">
        <v>40</v>
      </c>
      <c r="H180" s="1" t="s">
        <v>16</v>
      </c>
      <c r="I180">
        <v>1808.504776624859</v>
      </c>
      <c r="J180" s="1" t="s">
        <v>1501</v>
      </c>
      <c r="K180">
        <v>0</v>
      </c>
      <c r="L180">
        <v>811.31346567989658</v>
      </c>
      <c r="M180">
        <v>3602.576</v>
      </c>
      <c r="N180">
        <v>957.19131094496231</v>
      </c>
    </row>
    <row r="181" spans="1:14" hidden="1" x14ac:dyDescent="0.3">
      <c r="A181" s="1" t="s">
        <v>1514</v>
      </c>
      <c r="B181" s="1" t="s">
        <v>32</v>
      </c>
      <c r="C181" s="1" t="s">
        <v>33</v>
      </c>
      <c r="D181">
        <v>2</v>
      </c>
      <c r="E181" s="1" t="s">
        <v>16</v>
      </c>
      <c r="F181" s="1" t="s">
        <v>1515</v>
      </c>
      <c r="G181">
        <v>40</v>
      </c>
      <c r="H181" s="1" t="s">
        <v>16</v>
      </c>
      <c r="I181">
        <v>1867.046428114028</v>
      </c>
      <c r="J181" s="1" t="s">
        <v>1501</v>
      </c>
      <c r="K181">
        <v>0</v>
      </c>
      <c r="L181">
        <v>813.34927877052701</v>
      </c>
      <c r="M181">
        <v>3602.8780000000002</v>
      </c>
      <c r="N181">
        <v>1013.6971493435011</v>
      </c>
    </row>
    <row r="182" spans="1:14" hidden="1" x14ac:dyDescent="0.3">
      <c r="A182" s="1" t="s">
        <v>1529</v>
      </c>
      <c r="B182" s="1" t="s">
        <v>32</v>
      </c>
      <c r="C182" s="1" t="s">
        <v>33</v>
      </c>
      <c r="D182">
        <v>3</v>
      </c>
      <c r="E182" s="1" t="s">
        <v>16</v>
      </c>
      <c r="F182" s="1" t="s">
        <v>1530</v>
      </c>
      <c r="G182">
        <v>40</v>
      </c>
      <c r="H182" s="1" t="s">
        <v>16</v>
      </c>
      <c r="I182">
        <v>1774.5697758205938</v>
      </c>
      <c r="J182" s="1" t="s">
        <v>1501</v>
      </c>
      <c r="K182">
        <v>0</v>
      </c>
      <c r="L182">
        <v>763.46835559747137</v>
      </c>
      <c r="M182">
        <v>3602.9140000000002</v>
      </c>
      <c r="N182">
        <v>971.10142022312255</v>
      </c>
    </row>
    <row r="183" spans="1:14" hidden="1" x14ac:dyDescent="0.3">
      <c r="A183" s="1" t="s">
        <v>1544</v>
      </c>
      <c r="B183" s="1" t="s">
        <v>32</v>
      </c>
      <c r="C183" s="1" t="s">
        <v>33</v>
      </c>
      <c r="D183">
        <v>4</v>
      </c>
      <c r="E183" s="1" t="s">
        <v>16</v>
      </c>
      <c r="F183" s="1" t="s">
        <v>1545</v>
      </c>
      <c r="G183">
        <v>40</v>
      </c>
      <c r="H183" s="1" t="s">
        <v>16</v>
      </c>
      <c r="I183">
        <v>1783.245037584853</v>
      </c>
      <c r="J183" s="1" t="s">
        <v>1501</v>
      </c>
      <c r="K183">
        <v>0</v>
      </c>
      <c r="L183">
        <v>776.55386804581269</v>
      </c>
      <c r="M183">
        <v>3602.2840000000001</v>
      </c>
      <c r="N183">
        <v>966.69116953904029</v>
      </c>
    </row>
    <row r="184" spans="1:14" hidden="1" x14ac:dyDescent="0.3">
      <c r="A184" s="1" t="s">
        <v>1557</v>
      </c>
      <c r="B184" s="1" t="s">
        <v>32</v>
      </c>
      <c r="C184" s="1" t="s">
        <v>33</v>
      </c>
      <c r="D184">
        <v>5</v>
      </c>
      <c r="E184" s="1" t="s">
        <v>16</v>
      </c>
      <c r="F184" s="1" t="s">
        <v>1558</v>
      </c>
      <c r="G184">
        <v>40</v>
      </c>
      <c r="H184" s="1" t="s">
        <v>16</v>
      </c>
      <c r="I184">
        <v>1785.8933159183243</v>
      </c>
      <c r="J184" s="1" t="s">
        <v>1501</v>
      </c>
      <c r="K184">
        <v>0</v>
      </c>
      <c r="L184">
        <v>784.03242194415611</v>
      </c>
      <c r="M184">
        <v>3616.4070000000002</v>
      </c>
      <c r="N184">
        <v>961.86089397416811</v>
      </c>
    </row>
    <row r="185" spans="1:14" hidden="1" x14ac:dyDescent="0.3">
      <c r="A185" s="1" t="s">
        <v>1243</v>
      </c>
      <c r="B185" s="1" t="s">
        <v>25</v>
      </c>
      <c r="C185" s="1" t="s">
        <v>24</v>
      </c>
      <c r="D185">
        <v>4</v>
      </c>
      <c r="E185" s="1" t="s">
        <v>17</v>
      </c>
      <c r="F185" s="1" t="s">
        <v>1244</v>
      </c>
      <c r="G185">
        <v>20</v>
      </c>
      <c r="H185" s="1" t="s">
        <v>17</v>
      </c>
      <c r="I185">
        <v>590.06609689614027</v>
      </c>
      <c r="J185" s="1" t="s">
        <v>1245</v>
      </c>
      <c r="K185">
        <v>0</v>
      </c>
      <c r="L185">
        <v>320.73493229758674</v>
      </c>
      <c r="M185">
        <v>3601</v>
      </c>
      <c r="N185">
        <v>249.33116459855353</v>
      </c>
    </row>
    <row r="186" spans="1:14" hidden="1" x14ac:dyDescent="0.3">
      <c r="A186" s="1" t="s">
        <v>1237</v>
      </c>
      <c r="B186" s="1" t="s">
        <v>25</v>
      </c>
      <c r="C186" s="1" t="s">
        <v>24</v>
      </c>
      <c r="D186">
        <v>4</v>
      </c>
      <c r="E186" s="1" t="s">
        <v>16</v>
      </c>
      <c r="F186" s="1" t="s">
        <v>1238</v>
      </c>
      <c r="G186">
        <v>20</v>
      </c>
      <c r="H186" s="1" t="s">
        <v>16</v>
      </c>
      <c r="I186">
        <v>405.34853667994383</v>
      </c>
      <c r="J186" s="1" t="s">
        <v>1239</v>
      </c>
      <c r="K186">
        <v>0</v>
      </c>
      <c r="L186">
        <v>131.69455479342696</v>
      </c>
      <c r="M186">
        <v>3616.473</v>
      </c>
      <c r="N186">
        <v>253.65398188651687</v>
      </c>
    </row>
    <row r="187" spans="1:14" hidden="1" x14ac:dyDescent="0.3">
      <c r="A187" s="1" t="s">
        <v>844</v>
      </c>
      <c r="B187" s="1" t="s">
        <v>13</v>
      </c>
      <c r="C187" s="1" t="s">
        <v>14</v>
      </c>
      <c r="D187">
        <v>1</v>
      </c>
      <c r="E187" s="1" t="s">
        <v>16</v>
      </c>
      <c r="F187" s="1" t="s">
        <v>845</v>
      </c>
      <c r="G187">
        <v>0</v>
      </c>
      <c r="H187" s="1" t="s">
        <v>16</v>
      </c>
      <c r="I187">
        <v>16.901020957822439</v>
      </c>
      <c r="J187" s="1" t="s">
        <v>846</v>
      </c>
      <c r="K187">
        <v>0</v>
      </c>
      <c r="L187">
        <v>13.65585150405872</v>
      </c>
      <c r="M187">
        <v>461.483</v>
      </c>
      <c r="N187">
        <v>3.2451694537637183</v>
      </c>
    </row>
    <row r="188" spans="1:14" hidden="1" x14ac:dyDescent="0.3">
      <c r="A188" s="1" t="s">
        <v>863</v>
      </c>
      <c r="B188" s="1" t="s">
        <v>13</v>
      </c>
      <c r="C188" s="1" t="s">
        <v>14</v>
      </c>
      <c r="D188">
        <v>2</v>
      </c>
      <c r="E188" s="1" t="s">
        <v>16</v>
      </c>
      <c r="F188" s="1" t="s">
        <v>845</v>
      </c>
      <c r="G188">
        <v>0</v>
      </c>
      <c r="H188" s="1" t="s">
        <v>16</v>
      </c>
      <c r="I188">
        <v>18.971950064393521</v>
      </c>
      <c r="J188" s="1" t="s">
        <v>846</v>
      </c>
      <c r="K188">
        <v>0</v>
      </c>
      <c r="L188">
        <v>15.191026988511776</v>
      </c>
      <c r="M188">
        <v>1178.6980000000001</v>
      </c>
      <c r="N188">
        <v>3.7809230758817449</v>
      </c>
    </row>
    <row r="189" spans="1:14" hidden="1" x14ac:dyDescent="0.3">
      <c r="A189" s="1" t="s">
        <v>882</v>
      </c>
      <c r="B189" s="1" t="s">
        <v>13</v>
      </c>
      <c r="C189" s="1" t="s">
        <v>14</v>
      </c>
      <c r="D189">
        <v>4</v>
      </c>
      <c r="E189" s="1" t="s">
        <v>16</v>
      </c>
      <c r="F189" s="1" t="s">
        <v>845</v>
      </c>
      <c r="G189">
        <v>0</v>
      </c>
      <c r="H189" s="1" t="s">
        <v>16</v>
      </c>
      <c r="I189">
        <v>2.3105343292147222</v>
      </c>
      <c r="J189" s="1" t="s">
        <v>846</v>
      </c>
      <c r="K189">
        <v>0</v>
      </c>
      <c r="L189">
        <v>0</v>
      </c>
      <c r="M189">
        <v>269.291</v>
      </c>
      <c r="N189">
        <v>2.3105343292147222</v>
      </c>
    </row>
    <row r="190" spans="1:14" hidden="1" x14ac:dyDescent="0.3">
      <c r="A190" s="1" t="s">
        <v>902</v>
      </c>
      <c r="B190" s="1" t="s">
        <v>18</v>
      </c>
      <c r="C190" s="1" t="s">
        <v>19</v>
      </c>
      <c r="D190">
        <v>1</v>
      </c>
      <c r="E190" s="1" t="s">
        <v>16</v>
      </c>
      <c r="F190" s="1" t="s">
        <v>845</v>
      </c>
      <c r="G190">
        <v>0</v>
      </c>
      <c r="H190" s="1" t="s">
        <v>16</v>
      </c>
      <c r="I190">
        <v>29.649359565613587</v>
      </c>
      <c r="J190" s="1" t="s">
        <v>846</v>
      </c>
      <c r="K190">
        <v>0</v>
      </c>
      <c r="L190">
        <v>15.017573519538377</v>
      </c>
      <c r="M190">
        <v>3600.3130000000001</v>
      </c>
      <c r="N190">
        <v>14.631786046075209</v>
      </c>
    </row>
    <row r="191" spans="1:14" hidden="1" x14ac:dyDescent="0.3">
      <c r="A191" s="1" t="s">
        <v>911</v>
      </c>
      <c r="B191" s="1" t="s">
        <v>18</v>
      </c>
      <c r="C191" s="1" t="s">
        <v>19</v>
      </c>
      <c r="D191">
        <v>2</v>
      </c>
      <c r="E191" s="1" t="s">
        <v>16</v>
      </c>
      <c r="F191" s="1" t="s">
        <v>845</v>
      </c>
      <c r="G191">
        <v>0</v>
      </c>
      <c r="H191" s="1" t="s">
        <v>16</v>
      </c>
      <c r="I191">
        <v>47.159099023827999</v>
      </c>
      <c r="J191" s="1" t="s">
        <v>846</v>
      </c>
      <c r="K191">
        <v>0</v>
      </c>
      <c r="L191">
        <v>31.323137896476709</v>
      </c>
      <c r="M191">
        <v>3600.3539999999998</v>
      </c>
      <c r="N191">
        <v>15.835961127351288</v>
      </c>
    </row>
    <row r="192" spans="1:14" hidden="1" x14ac:dyDescent="0.3">
      <c r="A192" s="1" t="s">
        <v>920</v>
      </c>
      <c r="B192" s="1" t="s">
        <v>18</v>
      </c>
      <c r="C192" s="1" t="s">
        <v>19</v>
      </c>
      <c r="D192">
        <v>3</v>
      </c>
      <c r="E192" s="1" t="s">
        <v>16</v>
      </c>
      <c r="F192" s="1" t="s">
        <v>845</v>
      </c>
      <c r="G192">
        <v>0</v>
      </c>
      <c r="H192" s="1" t="s">
        <v>16</v>
      </c>
      <c r="I192">
        <v>13.41389757073101</v>
      </c>
      <c r="J192" s="1" t="s">
        <v>846</v>
      </c>
      <c r="K192">
        <v>0</v>
      </c>
      <c r="L192">
        <v>0</v>
      </c>
      <c r="M192">
        <v>3600.59</v>
      </c>
      <c r="N192">
        <v>13.41389757073101</v>
      </c>
    </row>
    <row r="193" spans="1:14" hidden="1" x14ac:dyDescent="0.3">
      <c r="A193" s="1" t="s">
        <v>1037</v>
      </c>
      <c r="B193" s="1" t="s">
        <v>21</v>
      </c>
      <c r="C193" s="1" t="s">
        <v>22</v>
      </c>
      <c r="D193">
        <v>1</v>
      </c>
      <c r="E193" s="1" t="s">
        <v>16</v>
      </c>
      <c r="F193" s="1" t="s">
        <v>845</v>
      </c>
      <c r="G193">
        <v>0</v>
      </c>
      <c r="H193" s="1" t="s">
        <v>16</v>
      </c>
      <c r="I193">
        <v>60.768792019270585</v>
      </c>
      <c r="J193" s="1" t="s">
        <v>846</v>
      </c>
      <c r="K193">
        <v>0</v>
      </c>
      <c r="L193">
        <v>30.598458673058175</v>
      </c>
      <c r="M193">
        <v>3600.3719999999998</v>
      </c>
      <c r="N193">
        <v>30.170333346212409</v>
      </c>
    </row>
    <row r="194" spans="1:14" hidden="1" x14ac:dyDescent="0.3">
      <c r="A194" s="1" t="s">
        <v>872</v>
      </c>
      <c r="B194" s="1" t="s">
        <v>13</v>
      </c>
      <c r="C194" s="1" t="s">
        <v>14</v>
      </c>
      <c r="D194">
        <v>3</v>
      </c>
      <c r="E194" s="1" t="s">
        <v>16</v>
      </c>
      <c r="F194" s="1" t="s">
        <v>873</v>
      </c>
      <c r="G194">
        <v>0</v>
      </c>
      <c r="H194" s="1" t="s">
        <v>16</v>
      </c>
      <c r="I194">
        <v>1.3297937619041584</v>
      </c>
      <c r="J194" s="1" t="s">
        <v>846</v>
      </c>
      <c r="K194">
        <v>0</v>
      </c>
      <c r="L194">
        <v>0</v>
      </c>
      <c r="M194">
        <v>241.77500000000001</v>
      </c>
      <c r="N194">
        <v>1.3297937619041584</v>
      </c>
    </row>
    <row r="195" spans="1:14" hidden="1" x14ac:dyDescent="0.3">
      <c r="A195" s="1" t="s">
        <v>891</v>
      </c>
      <c r="B195" s="1" t="s">
        <v>13</v>
      </c>
      <c r="C195" s="1" t="s">
        <v>14</v>
      </c>
      <c r="D195">
        <v>5</v>
      </c>
      <c r="E195" s="1" t="s">
        <v>16</v>
      </c>
      <c r="F195" s="1" t="s">
        <v>873</v>
      </c>
      <c r="G195">
        <v>0</v>
      </c>
      <c r="H195" s="1" t="s">
        <v>16</v>
      </c>
      <c r="I195">
        <v>2.5877124926957351</v>
      </c>
      <c r="J195" s="1" t="s">
        <v>846</v>
      </c>
      <c r="K195">
        <v>0</v>
      </c>
      <c r="L195">
        <v>0</v>
      </c>
      <c r="M195">
        <v>208.09700000000001</v>
      </c>
      <c r="N195">
        <v>2.5877124926957351</v>
      </c>
    </row>
    <row r="196" spans="1:14" hidden="1" x14ac:dyDescent="0.3">
      <c r="A196" s="1" t="s">
        <v>930</v>
      </c>
      <c r="B196" s="1" t="s">
        <v>18</v>
      </c>
      <c r="C196" s="1" t="s">
        <v>19</v>
      </c>
      <c r="D196">
        <v>4</v>
      </c>
      <c r="E196" s="1" t="s">
        <v>16</v>
      </c>
      <c r="F196" s="1" t="s">
        <v>873</v>
      </c>
      <c r="G196">
        <v>0</v>
      </c>
      <c r="H196" s="1" t="s">
        <v>16</v>
      </c>
      <c r="I196">
        <v>11.944114975004219</v>
      </c>
      <c r="J196" s="1" t="s">
        <v>846</v>
      </c>
      <c r="K196">
        <v>0</v>
      </c>
      <c r="L196">
        <v>0</v>
      </c>
      <c r="M196">
        <v>3600.32</v>
      </c>
      <c r="N196">
        <v>11.944114975004219</v>
      </c>
    </row>
    <row r="197" spans="1:14" hidden="1" x14ac:dyDescent="0.3">
      <c r="A197" s="1" t="s">
        <v>941</v>
      </c>
      <c r="B197" s="1" t="s">
        <v>18</v>
      </c>
      <c r="C197" s="1" t="s">
        <v>19</v>
      </c>
      <c r="D197">
        <v>5</v>
      </c>
      <c r="E197" s="1" t="s">
        <v>16</v>
      </c>
      <c r="F197" s="1" t="s">
        <v>873</v>
      </c>
      <c r="G197">
        <v>0</v>
      </c>
      <c r="H197" s="1" t="s">
        <v>16</v>
      </c>
      <c r="I197">
        <v>25.06855189878258</v>
      </c>
      <c r="J197" s="1" t="s">
        <v>846</v>
      </c>
      <c r="K197">
        <v>0</v>
      </c>
      <c r="L197">
        <v>12.047395139822598</v>
      </c>
      <c r="M197">
        <v>3600.509</v>
      </c>
      <c r="N197">
        <v>13.021156758959981</v>
      </c>
    </row>
    <row r="198" spans="1:14" hidden="1" x14ac:dyDescent="0.3">
      <c r="A198" s="1" t="s">
        <v>1048</v>
      </c>
      <c r="B198" s="1" t="s">
        <v>21</v>
      </c>
      <c r="C198" s="1" t="s">
        <v>22</v>
      </c>
      <c r="D198">
        <v>2</v>
      </c>
      <c r="E198" s="1" t="s">
        <v>16</v>
      </c>
      <c r="F198" s="1" t="s">
        <v>1049</v>
      </c>
      <c r="G198">
        <v>0</v>
      </c>
      <c r="H198" s="1" t="s">
        <v>16</v>
      </c>
      <c r="I198">
        <v>66.914766699345734</v>
      </c>
      <c r="J198" s="1" t="s">
        <v>1050</v>
      </c>
      <c r="K198">
        <v>0</v>
      </c>
      <c r="L198">
        <v>38.626333639058132</v>
      </c>
      <c r="M198">
        <v>3600.4479999999999</v>
      </c>
      <c r="N198">
        <v>28.288433060287606</v>
      </c>
    </row>
    <row r="199" spans="1:14" hidden="1" x14ac:dyDescent="0.3">
      <c r="A199" s="1" t="s">
        <v>1062</v>
      </c>
      <c r="B199" s="1" t="s">
        <v>21</v>
      </c>
      <c r="C199" s="1" t="s">
        <v>22</v>
      </c>
      <c r="D199">
        <v>3</v>
      </c>
      <c r="E199" s="1" t="s">
        <v>16</v>
      </c>
      <c r="F199" s="1" t="s">
        <v>1063</v>
      </c>
      <c r="G199">
        <v>0</v>
      </c>
      <c r="H199" s="1" t="s">
        <v>16</v>
      </c>
      <c r="I199">
        <v>56.095332964041873</v>
      </c>
      <c r="J199" s="1" t="s">
        <v>1064</v>
      </c>
      <c r="K199">
        <v>0</v>
      </c>
      <c r="L199">
        <v>22.546752927329283</v>
      </c>
      <c r="M199">
        <v>3600.1640000000002</v>
      </c>
      <c r="N199">
        <v>33.548580036712586</v>
      </c>
    </row>
    <row r="200" spans="1:14" hidden="1" x14ac:dyDescent="0.3">
      <c r="A200" s="1" t="s">
        <v>1078</v>
      </c>
      <c r="B200" s="1" t="s">
        <v>21</v>
      </c>
      <c r="C200" s="1" t="s">
        <v>22</v>
      </c>
      <c r="D200">
        <v>4</v>
      </c>
      <c r="E200" s="1" t="s">
        <v>16</v>
      </c>
      <c r="F200" s="1" t="s">
        <v>1079</v>
      </c>
      <c r="G200">
        <v>0</v>
      </c>
      <c r="H200" s="1" t="s">
        <v>16</v>
      </c>
      <c r="I200">
        <v>77.508597790353207</v>
      </c>
      <c r="J200" s="1" t="s">
        <v>1080</v>
      </c>
      <c r="K200">
        <v>0</v>
      </c>
      <c r="L200">
        <v>48.184463276919352</v>
      </c>
      <c r="M200">
        <v>3600.348</v>
      </c>
      <c r="N200">
        <v>29.324134513433862</v>
      </c>
    </row>
    <row r="201" spans="1:14" hidden="1" x14ac:dyDescent="0.3">
      <c r="A201" s="1" t="s">
        <v>1094</v>
      </c>
      <c r="B201" s="1" t="s">
        <v>21</v>
      </c>
      <c r="C201" s="1" t="s">
        <v>22</v>
      </c>
      <c r="D201">
        <v>5</v>
      </c>
      <c r="E201" s="1" t="s">
        <v>16</v>
      </c>
      <c r="F201" s="1" t="s">
        <v>1095</v>
      </c>
      <c r="G201">
        <v>0</v>
      </c>
      <c r="H201" s="1" t="s">
        <v>16</v>
      </c>
      <c r="I201">
        <v>51.891558396101246</v>
      </c>
      <c r="J201" s="1" t="s">
        <v>1096</v>
      </c>
      <c r="K201">
        <v>0</v>
      </c>
      <c r="L201">
        <v>22.067551654184825</v>
      </c>
      <c r="M201">
        <v>3600.7040000000002</v>
      </c>
      <c r="N201">
        <v>29.824006741916424</v>
      </c>
    </row>
    <row r="202" spans="1:14" hidden="1" x14ac:dyDescent="0.3">
      <c r="A202" s="1" t="s">
        <v>1113</v>
      </c>
      <c r="B202" s="1" t="s">
        <v>23</v>
      </c>
      <c r="C202" s="1" t="s">
        <v>24</v>
      </c>
      <c r="D202">
        <v>1</v>
      </c>
      <c r="E202" s="1" t="s">
        <v>16</v>
      </c>
      <c r="F202" s="1" t="s">
        <v>1114</v>
      </c>
      <c r="G202">
        <v>0</v>
      </c>
      <c r="H202" s="1" t="s">
        <v>16</v>
      </c>
      <c r="I202">
        <v>78.891739664905344</v>
      </c>
      <c r="J202" s="1" t="s">
        <v>1115</v>
      </c>
      <c r="K202">
        <v>0</v>
      </c>
      <c r="L202">
        <v>33.507365378873374</v>
      </c>
      <c r="M202">
        <v>3600.194</v>
      </c>
      <c r="N202">
        <v>45.384374286031978</v>
      </c>
    </row>
    <row r="203" spans="1:14" hidden="1" x14ac:dyDescent="0.3">
      <c r="A203" s="1" t="s">
        <v>1131</v>
      </c>
      <c r="B203" s="1" t="s">
        <v>23</v>
      </c>
      <c r="C203" s="1" t="s">
        <v>24</v>
      </c>
      <c r="D203">
        <v>2</v>
      </c>
      <c r="E203" s="1" t="s">
        <v>16</v>
      </c>
      <c r="F203" s="1" t="s">
        <v>1132</v>
      </c>
      <c r="G203">
        <v>0</v>
      </c>
      <c r="H203" s="1" t="s">
        <v>16</v>
      </c>
      <c r="I203">
        <v>68.482788890075341</v>
      </c>
      <c r="J203" s="1" t="s">
        <v>1133</v>
      </c>
      <c r="K203">
        <v>0</v>
      </c>
      <c r="L203">
        <v>25.302197532802765</v>
      </c>
      <c r="M203">
        <v>3600.2779999999998</v>
      </c>
      <c r="N203">
        <v>43.180591357272583</v>
      </c>
    </row>
    <row r="204" spans="1:14" hidden="1" x14ac:dyDescent="0.3">
      <c r="A204" s="1" t="s">
        <v>1148</v>
      </c>
      <c r="B204" s="1" t="s">
        <v>23</v>
      </c>
      <c r="C204" s="1" t="s">
        <v>24</v>
      </c>
      <c r="D204">
        <v>3</v>
      </c>
      <c r="E204" s="1" t="s">
        <v>16</v>
      </c>
      <c r="F204" s="1" t="s">
        <v>1149</v>
      </c>
      <c r="G204">
        <v>0</v>
      </c>
      <c r="H204" s="1" t="s">
        <v>16</v>
      </c>
      <c r="I204">
        <v>69.561741556373534</v>
      </c>
      <c r="J204" s="1" t="s">
        <v>1133</v>
      </c>
      <c r="K204">
        <v>0</v>
      </c>
      <c r="L204">
        <v>27.49581398387917</v>
      </c>
      <c r="M204">
        <v>3600.1480000000001</v>
      </c>
      <c r="N204">
        <v>42.065927572494367</v>
      </c>
    </row>
    <row r="205" spans="1:14" hidden="1" x14ac:dyDescent="0.3">
      <c r="A205" s="1" t="s">
        <v>1161</v>
      </c>
      <c r="B205" s="1" t="s">
        <v>23</v>
      </c>
      <c r="C205" s="1" t="s">
        <v>24</v>
      </c>
      <c r="D205">
        <v>4</v>
      </c>
      <c r="E205" s="1" t="s">
        <v>16</v>
      </c>
      <c r="F205" s="1" t="s">
        <v>1162</v>
      </c>
      <c r="G205">
        <v>0</v>
      </c>
      <c r="H205" s="1" t="s">
        <v>16</v>
      </c>
      <c r="I205">
        <v>88.790070440514569</v>
      </c>
      <c r="J205" s="1" t="s">
        <v>1133</v>
      </c>
      <c r="K205">
        <v>0</v>
      </c>
      <c r="L205">
        <v>47.420126284623734</v>
      </c>
      <c r="M205">
        <v>3600.2890000000002</v>
      </c>
      <c r="N205">
        <v>41.369944155890842</v>
      </c>
    </row>
    <row r="206" spans="1:14" hidden="1" x14ac:dyDescent="0.3">
      <c r="A206" s="1" t="s">
        <v>1180</v>
      </c>
      <c r="B206" s="1" t="s">
        <v>23</v>
      </c>
      <c r="C206" s="1" t="s">
        <v>24</v>
      </c>
      <c r="D206">
        <v>5</v>
      </c>
      <c r="E206" s="1" t="s">
        <v>16</v>
      </c>
      <c r="F206" s="1" t="s">
        <v>1181</v>
      </c>
      <c r="G206">
        <v>0</v>
      </c>
      <c r="H206" s="1" t="s">
        <v>16</v>
      </c>
      <c r="I206">
        <v>57.191320569944487</v>
      </c>
      <c r="J206" s="1" t="s">
        <v>1133</v>
      </c>
      <c r="K206">
        <v>0</v>
      </c>
      <c r="L206">
        <v>17.936145369461833</v>
      </c>
      <c r="M206">
        <v>3600.096</v>
      </c>
      <c r="N206">
        <v>39.255175200482654</v>
      </c>
    </row>
    <row r="207" spans="1:14" hidden="1" x14ac:dyDescent="0.3">
      <c r="A207" s="1" t="s">
        <v>1278</v>
      </c>
      <c r="B207" s="1" t="s">
        <v>26</v>
      </c>
      <c r="C207" s="1" t="s">
        <v>27</v>
      </c>
      <c r="D207">
        <v>1</v>
      </c>
      <c r="E207" s="1" t="s">
        <v>16</v>
      </c>
      <c r="F207" s="1" t="s">
        <v>1279</v>
      </c>
      <c r="G207">
        <v>0</v>
      </c>
      <c r="H207" s="1" t="s">
        <v>16</v>
      </c>
      <c r="I207">
        <v>112.57719835620544</v>
      </c>
      <c r="J207" s="1" t="s">
        <v>1280</v>
      </c>
      <c r="K207">
        <v>0</v>
      </c>
      <c r="L207">
        <v>54.746877162752938</v>
      </c>
      <c r="M207">
        <v>3600.5140000000001</v>
      </c>
      <c r="N207">
        <v>57.830321193452505</v>
      </c>
    </row>
    <row r="208" spans="1:14" hidden="1" x14ac:dyDescent="0.3">
      <c r="A208" s="1" t="s">
        <v>1300</v>
      </c>
      <c r="B208" s="1" t="s">
        <v>26</v>
      </c>
      <c r="C208" s="1" t="s">
        <v>27</v>
      </c>
      <c r="D208">
        <v>2</v>
      </c>
      <c r="E208" s="1" t="s">
        <v>16</v>
      </c>
      <c r="F208" s="1" t="s">
        <v>1301</v>
      </c>
      <c r="G208">
        <v>0</v>
      </c>
      <c r="H208" s="1" t="s">
        <v>16</v>
      </c>
      <c r="I208">
        <v>99.153285366358062</v>
      </c>
      <c r="J208" s="1" t="s">
        <v>1280</v>
      </c>
      <c r="K208">
        <v>0</v>
      </c>
      <c r="L208">
        <v>39.125362848434555</v>
      </c>
      <c r="M208">
        <v>3600.623</v>
      </c>
      <c r="N208">
        <v>60.027922517923514</v>
      </c>
    </row>
    <row r="209" spans="1:14" hidden="1" x14ac:dyDescent="0.3">
      <c r="A209" s="1" t="s">
        <v>1317</v>
      </c>
      <c r="B209" s="1" t="s">
        <v>26</v>
      </c>
      <c r="C209" s="1" t="s">
        <v>27</v>
      </c>
      <c r="D209">
        <v>3</v>
      </c>
      <c r="E209" s="1" t="s">
        <v>16</v>
      </c>
      <c r="F209" s="1" t="s">
        <v>1318</v>
      </c>
      <c r="G209">
        <v>0</v>
      </c>
      <c r="H209" s="1" t="s">
        <v>16</v>
      </c>
      <c r="I209">
        <v>78.980158010684434</v>
      </c>
      <c r="J209" s="1" t="s">
        <v>1319</v>
      </c>
      <c r="K209">
        <v>0</v>
      </c>
      <c r="L209">
        <v>21.76436430081004</v>
      </c>
      <c r="M209">
        <v>3601.0219999999999</v>
      </c>
      <c r="N209">
        <v>57.215793709874397</v>
      </c>
    </row>
    <row r="210" spans="1:14" hidden="1" x14ac:dyDescent="0.3">
      <c r="A210" s="1" t="s">
        <v>1338</v>
      </c>
      <c r="B210" s="1" t="s">
        <v>26</v>
      </c>
      <c r="C210" s="1" t="s">
        <v>27</v>
      </c>
      <c r="D210">
        <v>4</v>
      </c>
      <c r="E210" s="1" t="s">
        <v>16</v>
      </c>
      <c r="F210" s="1" t="s">
        <v>1339</v>
      </c>
      <c r="G210">
        <v>0</v>
      </c>
      <c r="H210" s="1" t="s">
        <v>16</v>
      </c>
      <c r="I210">
        <v>87.708524241314194</v>
      </c>
      <c r="J210" s="1" t="s">
        <v>1340</v>
      </c>
      <c r="K210">
        <v>0</v>
      </c>
      <c r="L210">
        <v>20.69352797121196</v>
      </c>
      <c r="M210">
        <v>3601.047</v>
      </c>
      <c r="N210">
        <v>67.01499627010223</v>
      </c>
    </row>
    <row r="211" spans="1:14" hidden="1" x14ac:dyDescent="0.3">
      <c r="A211" s="1" t="s">
        <v>1360</v>
      </c>
      <c r="B211" s="1" t="s">
        <v>26</v>
      </c>
      <c r="C211" s="1" t="s">
        <v>27</v>
      </c>
      <c r="D211">
        <v>5</v>
      </c>
      <c r="E211" s="1" t="s">
        <v>16</v>
      </c>
      <c r="F211" s="1" t="s">
        <v>1361</v>
      </c>
      <c r="G211">
        <v>0</v>
      </c>
      <c r="H211" s="1" t="s">
        <v>16</v>
      </c>
      <c r="I211">
        <v>92.259733190754503</v>
      </c>
      <c r="J211" s="1" t="s">
        <v>1362</v>
      </c>
      <c r="K211">
        <v>0</v>
      </c>
      <c r="L211">
        <v>43.930702756474389</v>
      </c>
      <c r="M211">
        <v>3600.415</v>
      </c>
      <c r="N211">
        <v>48.329030434280114</v>
      </c>
    </row>
    <row r="212" spans="1:14" hidden="1" x14ac:dyDescent="0.3">
      <c r="A212" s="1" t="s">
        <v>957</v>
      </c>
      <c r="B212" s="1" t="s">
        <v>20</v>
      </c>
      <c r="C212" s="1" t="s">
        <v>19</v>
      </c>
      <c r="D212">
        <v>1</v>
      </c>
      <c r="E212" s="1" t="s">
        <v>16</v>
      </c>
      <c r="F212" s="1" t="s">
        <v>958</v>
      </c>
      <c r="G212">
        <v>0</v>
      </c>
      <c r="H212" s="1" t="s">
        <v>16</v>
      </c>
      <c r="I212">
        <v>204.60624352741789</v>
      </c>
      <c r="J212" s="1" t="s">
        <v>959</v>
      </c>
      <c r="K212">
        <v>0</v>
      </c>
      <c r="L212">
        <v>121.86587970313883</v>
      </c>
      <c r="M212">
        <v>3600.8359999999998</v>
      </c>
      <c r="N212">
        <v>82.740363824279058</v>
      </c>
    </row>
    <row r="213" spans="1:14" hidden="1" x14ac:dyDescent="0.3">
      <c r="A213" s="1" t="s">
        <v>973</v>
      </c>
      <c r="B213" s="1" t="s">
        <v>20</v>
      </c>
      <c r="C213" s="1" t="s">
        <v>19</v>
      </c>
      <c r="D213">
        <v>2</v>
      </c>
      <c r="E213" s="1" t="s">
        <v>16</v>
      </c>
      <c r="F213" s="1" t="s">
        <v>974</v>
      </c>
      <c r="G213">
        <v>0</v>
      </c>
      <c r="H213" s="1" t="s">
        <v>16</v>
      </c>
      <c r="I213">
        <v>179.26716991265471</v>
      </c>
      <c r="J213" s="1" t="s">
        <v>975</v>
      </c>
      <c r="K213">
        <v>0</v>
      </c>
      <c r="L213">
        <v>88.621475447711688</v>
      </c>
      <c r="M213">
        <v>3600.19</v>
      </c>
      <c r="N213">
        <v>90.64569446494302</v>
      </c>
    </row>
    <row r="214" spans="1:14" hidden="1" x14ac:dyDescent="0.3">
      <c r="A214" s="1" t="s">
        <v>989</v>
      </c>
      <c r="B214" s="1" t="s">
        <v>20</v>
      </c>
      <c r="C214" s="1" t="s">
        <v>19</v>
      </c>
      <c r="D214">
        <v>3</v>
      </c>
      <c r="E214" s="1" t="s">
        <v>16</v>
      </c>
      <c r="F214" s="1" t="s">
        <v>990</v>
      </c>
      <c r="G214">
        <v>0</v>
      </c>
      <c r="H214" s="1" t="s">
        <v>16</v>
      </c>
      <c r="I214">
        <v>82.28152431590479</v>
      </c>
      <c r="J214" s="1" t="s">
        <v>991</v>
      </c>
      <c r="K214">
        <v>0</v>
      </c>
      <c r="L214">
        <v>19.92851570238291</v>
      </c>
      <c r="M214">
        <v>3600.6350000000002</v>
      </c>
      <c r="N214">
        <v>62.353008613521887</v>
      </c>
    </row>
    <row r="215" spans="1:14" hidden="1" x14ac:dyDescent="0.3">
      <c r="A215" s="1" t="s">
        <v>1006</v>
      </c>
      <c r="B215" s="1" t="s">
        <v>20</v>
      </c>
      <c r="C215" s="1" t="s">
        <v>19</v>
      </c>
      <c r="D215">
        <v>4</v>
      </c>
      <c r="E215" s="1" t="s">
        <v>16</v>
      </c>
      <c r="F215" s="1" t="s">
        <v>990</v>
      </c>
      <c r="G215">
        <v>0</v>
      </c>
      <c r="H215" s="1" t="s">
        <v>16</v>
      </c>
      <c r="I215">
        <v>78.059145381873407</v>
      </c>
      <c r="J215" s="1" t="s">
        <v>991</v>
      </c>
      <c r="K215">
        <v>0</v>
      </c>
      <c r="L215">
        <v>12.58973460988136</v>
      </c>
      <c r="M215">
        <v>3600.5479999999998</v>
      </c>
      <c r="N215">
        <v>65.469410771992045</v>
      </c>
    </row>
    <row r="216" spans="1:14" hidden="1" x14ac:dyDescent="0.3">
      <c r="A216" s="1" t="s">
        <v>1022</v>
      </c>
      <c r="B216" s="1" t="s">
        <v>20</v>
      </c>
      <c r="C216" s="1" t="s">
        <v>19</v>
      </c>
      <c r="D216">
        <v>5</v>
      </c>
      <c r="E216" s="1" t="s">
        <v>16</v>
      </c>
      <c r="F216" s="1" t="s">
        <v>1023</v>
      </c>
      <c r="G216">
        <v>0</v>
      </c>
      <c r="H216" s="1" t="s">
        <v>16</v>
      </c>
      <c r="I216">
        <v>151.39931059005988</v>
      </c>
      <c r="J216" s="1" t="s">
        <v>1024</v>
      </c>
      <c r="K216">
        <v>0</v>
      </c>
      <c r="L216">
        <v>64.148326247321961</v>
      </c>
      <c r="M216">
        <v>3600.2489999999998</v>
      </c>
      <c r="N216">
        <v>87.250984342737937</v>
      </c>
    </row>
    <row r="217" spans="1:14" hidden="1" x14ac:dyDescent="0.3">
      <c r="A217" s="1" t="s">
        <v>1197</v>
      </c>
      <c r="B217" s="1" t="s">
        <v>25</v>
      </c>
      <c r="C217" s="1" t="s">
        <v>24</v>
      </c>
      <c r="D217">
        <v>1</v>
      </c>
      <c r="E217" s="1" t="s">
        <v>16</v>
      </c>
      <c r="F217" s="1" t="s">
        <v>1198</v>
      </c>
      <c r="G217">
        <v>0</v>
      </c>
      <c r="H217" s="1" t="s">
        <v>16</v>
      </c>
      <c r="I217">
        <v>365.39398144921381</v>
      </c>
      <c r="J217" s="1" t="s">
        <v>1024</v>
      </c>
      <c r="K217">
        <v>0</v>
      </c>
      <c r="L217">
        <v>130.80711346469624</v>
      </c>
      <c r="M217">
        <v>3607.9569999999999</v>
      </c>
      <c r="N217">
        <v>234.5868679845176</v>
      </c>
    </row>
    <row r="218" spans="1:14" hidden="1" x14ac:dyDescent="0.3">
      <c r="A218" s="1" t="s">
        <v>1210</v>
      </c>
      <c r="B218" s="1" t="s">
        <v>25</v>
      </c>
      <c r="C218" s="1" t="s">
        <v>24</v>
      </c>
      <c r="D218">
        <v>2</v>
      </c>
      <c r="E218" s="1" t="s">
        <v>16</v>
      </c>
      <c r="F218" s="1" t="s">
        <v>1211</v>
      </c>
      <c r="G218">
        <v>20</v>
      </c>
      <c r="H218" s="1" t="s">
        <v>16</v>
      </c>
      <c r="I218">
        <v>460.0696781141578</v>
      </c>
      <c r="J218" s="1" t="s">
        <v>1024</v>
      </c>
      <c r="K218">
        <v>0</v>
      </c>
      <c r="L218">
        <v>189.63915319891703</v>
      </c>
      <c r="M218">
        <v>3600.491</v>
      </c>
      <c r="N218">
        <v>250.43052491524074</v>
      </c>
    </row>
    <row r="219" spans="1:14" hidden="1" x14ac:dyDescent="0.3">
      <c r="A219" s="1" t="s">
        <v>1223</v>
      </c>
      <c r="B219" s="1" t="s">
        <v>25</v>
      </c>
      <c r="C219" s="1" t="s">
        <v>24</v>
      </c>
      <c r="D219">
        <v>3</v>
      </c>
      <c r="E219" s="1" t="s">
        <v>16</v>
      </c>
      <c r="F219" s="1" t="s">
        <v>1224</v>
      </c>
      <c r="G219">
        <v>20</v>
      </c>
      <c r="H219" s="1" t="s">
        <v>16</v>
      </c>
      <c r="I219">
        <v>321.7895369926074</v>
      </c>
      <c r="J219" s="1" t="s">
        <v>1024</v>
      </c>
      <c r="K219">
        <v>0</v>
      </c>
      <c r="L219">
        <v>85.277800236871428</v>
      </c>
      <c r="M219">
        <v>3609.1889999999999</v>
      </c>
      <c r="N219">
        <v>216.511736755736</v>
      </c>
    </row>
    <row r="220" spans="1:14" hidden="1" x14ac:dyDescent="0.3">
      <c r="A220" s="1" t="s">
        <v>1240</v>
      </c>
      <c r="B220" s="1" t="s">
        <v>25</v>
      </c>
      <c r="C220" s="1" t="s">
        <v>24</v>
      </c>
      <c r="D220">
        <v>4</v>
      </c>
      <c r="E220" s="1" t="s">
        <v>16</v>
      </c>
      <c r="F220" s="1" t="s">
        <v>1241</v>
      </c>
      <c r="G220">
        <v>20</v>
      </c>
      <c r="H220" s="1" t="s">
        <v>16</v>
      </c>
      <c r="I220">
        <v>498.99206498155928</v>
      </c>
      <c r="J220" s="1" t="s">
        <v>1242</v>
      </c>
      <c r="K220">
        <v>0</v>
      </c>
      <c r="L220">
        <v>226.18175191167865</v>
      </c>
      <c r="M220">
        <v>3601.1570000000002</v>
      </c>
      <c r="N220">
        <v>252.81031306988064</v>
      </c>
    </row>
    <row r="221" spans="1:14" hidden="1" x14ac:dyDescent="0.3">
      <c r="A221" s="1" t="s">
        <v>1257</v>
      </c>
      <c r="B221" s="1" t="s">
        <v>25</v>
      </c>
      <c r="C221" s="1" t="s">
        <v>24</v>
      </c>
      <c r="D221">
        <v>5</v>
      </c>
      <c r="E221" s="1" t="s">
        <v>16</v>
      </c>
      <c r="F221" s="1" t="s">
        <v>1258</v>
      </c>
      <c r="G221">
        <v>20</v>
      </c>
      <c r="H221" s="1" t="s">
        <v>16</v>
      </c>
      <c r="I221">
        <v>458.69027533506295</v>
      </c>
      <c r="J221" s="1" t="s">
        <v>1259</v>
      </c>
      <c r="K221">
        <v>0</v>
      </c>
      <c r="L221">
        <v>199.52197040038394</v>
      </c>
      <c r="M221">
        <v>3602.788</v>
      </c>
      <c r="N221">
        <v>239.16830493467901</v>
      </c>
    </row>
    <row r="222" spans="1:14" hidden="1" x14ac:dyDescent="0.3">
      <c r="A222" s="1" t="s">
        <v>1373</v>
      </c>
      <c r="B222" s="1" t="s">
        <v>28</v>
      </c>
      <c r="C222" s="1" t="s">
        <v>29</v>
      </c>
      <c r="D222">
        <v>1</v>
      </c>
      <c r="E222" s="1" t="s">
        <v>16</v>
      </c>
      <c r="F222" s="1" t="s">
        <v>1374</v>
      </c>
      <c r="G222">
        <v>40</v>
      </c>
      <c r="H222" s="1" t="s">
        <v>16</v>
      </c>
      <c r="I222">
        <v>800.53978951791078</v>
      </c>
      <c r="J222" s="1" t="s">
        <v>1375</v>
      </c>
      <c r="K222">
        <v>0</v>
      </c>
      <c r="L222">
        <v>306.60225161723065</v>
      </c>
      <c r="M222">
        <v>3601.2449999999999</v>
      </c>
      <c r="N222">
        <v>453.93753790068018</v>
      </c>
    </row>
    <row r="223" spans="1:14" hidden="1" x14ac:dyDescent="0.3">
      <c r="A223" s="1" t="s">
        <v>1389</v>
      </c>
      <c r="B223" s="1" t="s">
        <v>28</v>
      </c>
      <c r="C223" s="1" t="s">
        <v>29</v>
      </c>
      <c r="D223">
        <v>2</v>
      </c>
      <c r="E223" s="1" t="s">
        <v>16</v>
      </c>
      <c r="F223" s="1" t="s">
        <v>1390</v>
      </c>
      <c r="G223">
        <v>20</v>
      </c>
      <c r="H223" s="1" t="s">
        <v>16</v>
      </c>
      <c r="I223">
        <v>912.80304947970797</v>
      </c>
      <c r="J223" s="1" t="s">
        <v>1391</v>
      </c>
      <c r="K223">
        <v>0</v>
      </c>
      <c r="L223">
        <v>452.84487072678189</v>
      </c>
      <c r="M223">
        <v>3602.1480000000001</v>
      </c>
      <c r="N223">
        <v>439.95817875292607</v>
      </c>
    </row>
    <row r="224" spans="1:14" hidden="1" x14ac:dyDescent="0.3">
      <c r="A224" s="1" t="s">
        <v>1402</v>
      </c>
      <c r="B224" s="1" t="s">
        <v>28</v>
      </c>
      <c r="C224" s="1" t="s">
        <v>29</v>
      </c>
      <c r="D224">
        <v>3</v>
      </c>
      <c r="E224" s="1" t="s">
        <v>16</v>
      </c>
      <c r="F224" s="1" t="s">
        <v>1403</v>
      </c>
      <c r="G224">
        <v>20</v>
      </c>
      <c r="H224" s="1" t="s">
        <v>16</v>
      </c>
      <c r="I224">
        <v>859.60983880981667</v>
      </c>
      <c r="J224" s="1" t="s">
        <v>1404</v>
      </c>
      <c r="K224">
        <v>0</v>
      </c>
      <c r="L224">
        <v>406.98574154077994</v>
      </c>
      <c r="M224">
        <v>3601.97</v>
      </c>
      <c r="N224">
        <v>432.62409726903672</v>
      </c>
    </row>
    <row r="225" spans="1:14" hidden="1" x14ac:dyDescent="0.3">
      <c r="A225" s="1" t="s">
        <v>1415</v>
      </c>
      <c r="B225" s="1" t="s">
        <v>28</v>
      </c>
      <c r="C225" s="1" t="s">
        <v>29</v>
      </c>
      <c r="D225">
        <v>4</v>
      </c>
      <c r="E225" s="1" t="s">
        <v>16</v>
      </c>
      <c r="F225" s="1" t="s">
        <v>1416</v>
      </c>
      <c r="G225">
        <v>20</v>
      </c>
      <c r="H225" s="1" t="s">
        <v>16</v>
      </c>
      <c r="I225">
        <v>732.83764955577317</v>
      </c>
      <c r="J225" s="1" t="s">
        <v>1417</v>
      </c>
      <c r="K225">
        <v>0</v>
      </c>
      <c r="L225">
        <v>285.0166270414515</v>
      </c>
      <c r="M225">
        <v>3601.3580000000002</v>
      </c>
      <c r="N225">
        <v>427.82102251432167</v>
      </c>
    </row>
    <row r="226" spans="1:14" hidden="1" x14ac:dyDescent="0.3">
      <c r="A226" s="1" t="s">
        <v>1425</v>
      </c>
      <c r="B226" s="1" t="s">
        <v>28</v>
      </c>
      <c r="C226" s="1" t="s">
        <v>29</v>
      </c>
      <c r="D226">
        <v>5</v>
      </c>
      <c r="E226" s="1" t="s">
        <v>16</v>
      </c>
      <c r="F226" s="1" t="s">
        <v>1426</v>
      </c>
      <c r="G226">
        <v>40</v>
      </c>
      <c r="H226" s="1" t="s">
        <v>16</v>
      </c>
      <c r="I226">
        <v>845.38863713629621</v>
      </c>
      <c r="J226" s="1" t="s">
        <v>1417</v>
      </c>
      <c r="K226">
        <v>0</v>
      </c>
      <c r="L226">
        <v>382.15136694267812</v>
      </c>
      <c r="M226">
        <v>3601.8069999999998</v>
      </c>
      <c r="N226">
        <v>423.23727019361814</v>
      </c>
    </row>
    <row r="227" spans="1:14" hidden="1" x14ac:dyDescent="0.3">
      <c r="A227" s="1" t="s">
        <v>1437</v>
      </c>
      <c r="B227" s="1" t="s">
        <v>30</v>
      </c>
      <c r="C227" s="1" t="s">
        <v>31</v>
      </c>
      <c r="D227">
        <v>1</v>
      </c>
      <c r="E227" s="1" t="s">
        <v>16</v>
      </c>
      <c r="F227" s="1" t="s">
        <v>1438</v>
      </c>
      <c r="G227">
        <v>40</v>
      </c>
      <c r="H227" s="1" t="s">
        <v>16</v>
      </c>
      <c r="I227">
        <v>1146.8892787738596</v>
      </c>
      <c r="J227" s="1" t="s">
        <v>1417</v>
      </c>
      <c r="K227">
        <v>0</v>
      </c>
      <c r="L227">
        <v>427.34996548546701</v>
      </c>
      <c r="M227">
        <v>3602.2089999999998</v>
      </c>
      <c r="N227">
        <v>679.53931328839258</v>
      </c>
    </row>
    <row r="228" spans="1:14" hidden="1" x14ac:dyDescent="0.3">
      <c r="A228" s="1" t="s">
        <v>1447</v>
      </c>
      <c r="B228" s="1" t="s">
        <v>30</v>
      </c>
      <c r="C228" s="1" t="s">
        <v>31</v>
      </c>
      <c r="D228">
        <v>2</v>
      </c>
      <c r="E228" s="1" t="s">
        <v>16</v>
      </c>
      <c r="F228" s="1" t="s">
        <v>1448</v>
      </c>
      <c r="G228">
        <v>40</v>
      </c>
      <c r="H228" s="1" t="s">
        <v>16</v>
      </c>
      <c r="I228">
        <v>1299.2400902722843</v>
      </c>
      <c r="J228" s="1" t="s">
        <v>1449</v>
      </c>
      <c r="K228">
        <v>0</v>
      </c>
      <c r="L228">
        <v>591.73399494996636</v>
      </c>
      <c r="M228">
        <v>3601.7660000000001</v>
      </c>
      <c r="N228">
        <v>667.50609532231783</v>
      </c>
    </row>
    <row r="229" spans="1:14" hidden="1" x14ac:dyDescent="0.3">
      <c r="A229" s="1" t="s">
        <v>1458</v>
      </c>
      <c r="B229" s="1" t="s">
        <v>30</v>
      </c>
      <c r="C229" s="1" t="s">
        <v>31</v>
      </c>
      <c r="D229">
        <v>3</v>
      </c>
      <c r="E229" s="1" t="s">
        <v>16</v>
      </c>
      <c r="F229" s="1" t="s">
        <v>1459</v>
      </c>
      <c r="G229">
        <v>40</v>
      </c>
      <c r="H229" s="1" t="s">
        <v>16</v>
      </c>
      <c r="I229">
        <v>1173.1913053514299</v>
      </c>
      <c r="J229" s="1" t="s">
        <v>1460</v>
      </c>
      <c r="K229">
        <v>0</v>
      </c>
      <c r="L229">
        <v>440.9933036859199</v>
      </c>
      <c r="M229">
        <v>3601.2310000000002</v>
      </c>
      <c r="N229">
        <v>692.19800166551011</v>
      </c>
    </row>
    <row r="230" spans="1:14" hidden="1" x14ac:dyDescent="0.3">
      <c r="A230" s="1" t="s">
        <v>1471</v>
      </c>
      <c r="B230" s="1" t="s">
        <v>30</v>
      </c>
      <c r="C230" s="1" t="s">
        <v>31</v>
      </c>
      <c r="D230">
        <v>4</v>
      </c>
      <c r="E230" s="1" t="s">
        <v>16</v>
      </c>
      <c r="F230" s="1" t="s">
        <v>1472</v>
      </c>
      <c r="G230">
        <v>40</v>
      </c>
      <c r="H230" s="1" t="s">
        <v>16</v>
      </c>
      <c r="I230">
        <v>1252.1176109698249</v>
      </c>
      <c r="J230" s="1" t="s">
        <v>1473</v>
      </c>
      <c r="K230">
        <v>0</v>
      </c>
      <c r="L230">
        <v>488.73259462604415</v>
      </c>
      <c r="M230">
        <v>3601.7919999999999</v>
      </c>
      <c r="N230">
        <v>723.38501634378065</v>
      </c>
    </row>
    <row r="231" spans="1:14" hidden="1" x14ac:dyDescent="0.3">
      <c r="A231" s="1" t="s">
        <v>1485</v>
      </c>
      <c r="B231" s="1" t="s">
        <v>30</v>
      </c>
      <c r="C231" s="1" t="s">
        <v>31</v>
      </c>
      <c r="D231">
        <v>5</v>
      </c>
      <c r="E231" s="1" t="s">
        <v>16</v>
      </c>
      <c r="F231" s="1" t="s">
        <v>1486</v>
      </c>
      <c r="G231">
        <v>40</v>
      </c>
      <c r="H231" s="1" t="s">
        <v>16</v>
      </c>
      <c r="I231">
        <v>1522.8850298446728</v>
      </c>
      <c r="J231" s="1" t="s">
        <v>1487</v>
      </c>
      <c r="K231">
        <v>0</v>
      </c>
      <c r="L231">
        <v>805.77315693937271</v>
      </c>
      <c r="M231">
        <v>3602.3040000000001</v>
      </c>
      <c r="N231">
        <v>677.11187290529995</v>
      </c>
    </row>
    <row r="232" spans="1:14" hidden="1" x14ac:dyDescent="0.3">
      <c r="A232" s="1" t="s">
        <v>1502</v>
      </c>
      <c r="B232" s="1" t="s">
        <v>32</v>
      </c>
      <c r="C232" s="1" t="s">
        <v>33</v>
      </c>
      <c r="D232">
        <v>1</v>
      </c>
      <c r="E232" s="1" t="s">
        <v>16</v>
      </c>
      <c r="F232" s="1" t="s">
        <v>1503</v>
      </c>
      <c r="G232">
        <v>40</v>
      </c>
      <c r="H232" s="1" t="s">
        <v>16</v>
      </c>
      <c r="I232">
        <v>1790.7826152223504</v>
      </c>
      <c r="J232" s="1" t="s">
        <v>1504</v>
      </c>
      <c r="K232">
        <v>0</v>
      </c>
      <c r="L232">
        <v>794.3689487287561</v>
      </c>
      <c r="M232">
        <v>3602.2429999999999</v>
      </c>
      <c r="N232">
        <v>956.41366649359429</v>
      </c>
    </row>
    <row r="233" spans="1:14" hidden="1" x14ac:dyDescent="0.3">
      <c r="A233" s="1" t="s">
        <v>1516</v>
      </c>
      <c r="B233" s="1" t="s">
        <v>32</v>
      </c>
      <c r="C233" s="1" t="s">
        <v>33</v>
      </c>
      <c r="D233">
        <v>2</v>
      </c>
      <c r="E233" s="1" t="s">
        <v>16</v>
      </c>
      <c r="F233" s="1" t="s">
        <v>1517</v>
      </c>
      <c r="G233">
        <v>60</v>
      </c>
      <c r="H233" s="1" t="s">
        <v>16</v>
      </c>
      <c r="I233">
        <v>1829.209518019913</v>
      </c>
      <c r="J233" s="1" t="s">
        <v>1518</v>
      </c>
      <c r="K233">
        <v>0</v>
      </c>
      <c r="L233">
        <v>755.54647275198408</v>
      </c>
      <c r="M233">
        <v>3602.31</v>
      </c>
      <c r="N233">
        <v>1013.6630452679289</v>
      </c>
    </row>
    <row r="234" spans="1:14" hidden="1" x14ac:dyDescent="0.3">
      <c r="A234" s="1" t="s">
        <v>1531</v>
      </c>
      <c r="B234" s="1" t="s">
        <v>32</v>
      </c>
      <c r="C234" s="1" t="s">
        <v>33</v>
      </c>
      <c r="D234">
        <v>3</v>
      </c>
      <c r="E234" s="1" t="s">
        <v>16</v>
      </c>
      <c r="F234" s="1" t="s">
        <v>1532</v>
      </c>
      <c r="G234">
        <v>40</v>
      </c>
      <c r="H234" s="1" t="s">
        <v>16</v>
      </c>
      <c r="I234">
        <v>1758.7579706190029</v>
      </c>
      <c r="J234" s="1" t="s">
        <v>1533</v>
      </c>
      <c r="K234">
        <v>0</v>
      </c>
      <c r="L234">
        <v>748.52740563308589</v>
      </c>
      <c r="M234">
        <v>3601.5140000000001</v>
      </c>
      <c r="N234">
        <v>970.230564985917</v>
      </c>
    </row>
    <row r="235" spans="1:14" hidden="1" x14ac:dyDescent="0.3">
      <c r="A235" s="1" t="s">
        <v>1546</v>
      </c>
      <c r="B235" s="1" t="s">
        <v>32</v>
      </c>
      <c r="C235" s="1" t="s">
        <v>33</v>
      </c>
      <c r="D235">
        <v>4</v>
      </c>
      <c r="E235" s="1" t="s">
        <v>16</v>
      </c>
      <c r="F235" s="1" t="s">
        <v>1547</v>
      </c>
      <c r="G235">
        <v>40</v>
      </c>
      <c r="H235" s="1" t="s">
        <v>16</v>
      </c>
      <c r="I235">
        <v>1756.7581091748611</v>
      </c>
      <c r="J235" s="1" t="s">
        <v>1548</v>
      </c>
      <c r="K235">
        <v>0</v>
      </c>
      <c r="L235">
        <v>750.08475201271949</v>
      </c>
      <c r="M235">
        <v>3612.2330000000002</v>
      </c>
      <c r="N235">
        <v>966.67335716214166</v>
      </c>
    </row>
    <row r="236" spans="1:14" hidden="1" x14ac:dyDescent="0.3">
      <c r="A236" s="1" t="s">
        <v>1559</v>
      </c>
      <c r="B236" s="1" t="s">
        <v>32</v>
      </c>
      <c r="C236" s="1" t="s">
        <v>33</v>
      </c>
      <c r="D236">
        <v>5</v>
      </c>
      <c r="E236" s="1" t="s">
        <v>16</v>
      </c>
      <c r="F236" s="1" t="s">
        <v>1560</v>
      </c>
      <c r="G236">
        <v>40</v>
      </c>
      <c r="H236" s="1" t="s">
        <v>16</v>
      </c>
      <c r="I236">
        <v>1700.0914674363032</v>
      </c>
      <c r="J236" s="1" t="s">
        <v>1561</v>
      </c>
      <c r="K236">
        <v>0</v>
      </c>
      <c r="L236">
        <v>699.06008266176082</v>
      </c>
      <c r="M236">
        <v>3601.0709999999999</v>
      </c>
      <c r="N236">
        <v>961.0313847745424</v>
      </c>
    </row>
    <row r="237" spans="1:14" hidden="1" x14ac:dyDescent="0.3">
      <c r="A237" s="1" t="s">
        <v>850</v>
      </c>
      <c r="B237" s="1" t="s">
        <v>13</v>
      </c>
      <c r="C237" s="1" t="s">
        <v>14</v>
      </c>
      <c r="D237">
        <v>1</v>
      </c>
      <c r="E237" s="1" t="s">
        <v>17</v>
      </c>
      <c r="F237" s="1" t="s">
        <v>851</v>
      </c>
      <c r="G237">
        <v>0</v>
      </c>
      <c r="H237" s="1" t="s">
        <v>17</v>
      </c>
      <c r="I237">
        <v>16.901020957822439</v>
      </c>
      <c r="J237" s="1" t="s">
        <v>852</v>
      </c>
      <c r="K237">
        <v>0</v>
      </c>
      <c r="L237">
        <v>13.65585150405872</v>
      </c>
      <c r="M237">
        <v>1863.7370000000001</v>
      </c>
      <c r="N237">
        <v>3.2451694537637183</v>
      </c>
    </row>
    <row r="238" spans="1:14" hidden="1" x14ac:dyDescent="0.3">
      <c r="A238" s="1" t="s">
        <v>865</v>
      </c>
      <c r="B238" s="1" t="s">
        <v>13</v>
      </c>
      <c r="C238" s="1" t="s">
        <v>14</v>
      </c>
      <c r="D238">
        <v>2</v>
      </c>
      <c r="E238" s="1" t="s">
        <v>17</v>
      </c>
      <c r="F238" s="1" t="s">
        <v>851</v>
      </c>
      <c r="G238">
        <v>0</v>
      </c>
      <c r="H238" s="1" t="s">
        <v>17</v>
      </c>
      <c r="I238">
        <v>18.971950064393521</v>
      </c>
      <c r="J238" s="1" t="s">
        <v>852</v>
      </c>
      <c r="K238">
        <v>0</v>
      </c>
      <c r="L238">
        <v>15.191026988511776</v>
      </c>
      <c r="M238">
        <v>3600.3029999999999</v>
      </c>
      <c r="N238">
        <v>3.7809230758817449</v>
      </c>
    </row>
    <row r="239" spans="1:14" hidden="1" x14ac:dyDescent="0.3">
      <c r="A239" s="1" t="s">
        <v>875</v>
      </c>
      <c r="B239" s="1" t="s">
        <v>13</v>
      </c>
      <c r="C239" s="1" t="s">
        <v>14</v>
      </c>
      <c r="D239">
        <v>3</v>
      </c>
      <c r="E239" s="1" t="s">
        <v>17</v>
      </c>
      <c r="F239" s="1" t="s">
        <v>851</v>
      </c>
      <c r="G239">
        <v>0</v>
      </c>
      <c r="H239" s="1" t="s">
        <v>17</v>
      </c>
      <c r="I239">
        <v>1.3297937619041584</v>
      </c>
      <c r="J239" s="1" t="s">
        <v>852</v>
      </c>
      <c r="K239">
        <v>0</v>
      </c>
      <c r="L239">
        <v>0</v>
      </c>
      <c r="M239">
        <v>854.54</v>
      </c>
      <c r="N239">
        <v>1.3297937619041584</v>
      </c>
    </row>
    <row r="240" spans="1:14" hidden="1" x14ac:dyDescent="0.3">
      <c r="A240" s="1" t="s">
        <v>884</v>
      </c>
      <c r="B240" s="1" t="s">
        <v>13</v>
      </c>
      <c r="C240" s="1" t="s">
        <v>14</v>
      </c>
      <c r="D240">
        <v>4</v>
      </c>
      <c r="E240" s="1" t="s">
        <v>17</v>
      </c>
      <c r="F240" s="1" t="s">
        <v>851</v>
      </c>
      <c r="G240">
        <v>0</v>
      </c>
      <c r="H240" s="1" t="s">
        <v>17</v>
      </c>
      <c r="I240">
        <v>2.3105343292147218</v>
      </c>
      <c r="J240" s="1" t="s">
        <v>852</v>
      </c>
      <c r="K240">
        <v>0</v>
      </c>
      <c r="L240">
        <v>0</v>
      </c>
      <c r="M240">
        <v>1510.14</v>
      </c>
      <c r="N240">
        <v>2.3105343292147218</v>
      </c>
    </row>
    <row r="241" spans="1:14" hidden="1" x14ac:dyDescent="0.3">
      <c r="A241" s="1" t="s">
        <v>893</v>
      </c>
      <c r="B241" s="1" t="s">
        <v>13</v>
      </c>
      <c r="C241" s="1" t="s">
        <v>14</v>
      </c>
      <c r="D241">
        <v>5</v>
      </c>
      <c r="E241" s="1" t="s">
        <v>17</v>
      </c>
      <c r="F241" s="1" t="s">
        <v>851</v>
      </c>
      <c r="G241">
        <v>0</v>
      </c>
      <c r="H241" s="1" t="s">
        <v>17</v>
      </c>
      <c r="I241">
        <v>2.5877124926957356</v>
      </c>
      <c r="J241" s="1" t="s">
        <v>852</v>
      </c>
      <c r="K241">
        <v>0</v>
      </c>
      <c r="L241">
        <v>0</v>
      </c>
      <c r="M241">
        <v>1931.59</v>
      </c>
      <c r="N241">
        <v>2.5877124926957356</v>
      </c>
    </row>
    <row r="242" spans="1:14" hidden="1" x14ac:dyDescent="0.3">
      <c r="A242" s="1" t="s">
        <v>904</v>
      </c>
      <c r="B242" s="1" t="s">
        <v>18</v>
      </c>
      <c r="C242" s="1" t="s">
        <v>19</v>
      </c>
      <c r="D242">
        <v>1</v>
      </c>
      <c r="E242" s="1" t="s">
        <v>17</v>
      </c>
      <c r="F242" s="1" t="s">
        <v>851</v>
      </c>
      <c r="G242">
        <v>0</v>
      </c>
      <c r="H242" s="1" t="s">
        <v>17</v>
      </c>
      <c r="I242">
        <v>29.501053563568497</v>
      </c>
      <c r="J242" s="1" t="s">
        <v>852</v>
      </c>
      <c r="K242">
        <v>0</v>
      </c>
      <c r="L242">
        <v>15.017573519538377</v>
      </c>
      <c r="M242">
        <v>3600.3339999999998</v>
      </c>
      <c r="N242">
        <v>14.483480044030122</v>
      </c>
    </row>
    <row r="243" spans="1:14" hidden="1" x14ac:dyDescent="0.3">
      <c r="A243" s="1" t="s">
        <v>913</v>
      </c>
      <c r="B243" s="1" t="s">
        <v>18</v>
      </c>
      <c r="C243" s="1" t="s">
        <v>19</v>
      </c>
      <c r="D243">
        <v>2</v>
      </c>
      <c r="E243" s="1" t="s">
        <v>17</v>
      </c>
      <c r="F243" s="1" t="s">
        <v>851</v>
      </c>
      <c r="G243">
        <v>0</v>
      </c>
      <c r="H243" s="1" t="s">
        <v>17</v>
      </c>
      <c r="I243">
        <v>47.13560586105897</v>
      </c>
      <c r="J243" s="1" t="s">
        <v>852</v>
      </c>
      <c r="K243">
        <v>0</v>
      </c>
      <c r="L243">
        <v>31.323137896476709</v>
      </c>
      <c r="M243">
        <v>3600.703</v>
      </c>
      <c r="N243">
        <v>15.812467964582261</v>
      </c>
    </row>
    <row r="244" spans="1:14" hidden="1" x14ac:dyDescent="0.3">
      <c r="A244" s="1" t="s">
        <v>922</v>
      </c>
      <c r="B244" s="1" t="s">
        <v>18</v>
      </c>
      <c r="C244" s="1" t="s">
        <v>19</v>
      </c>
      <c r="D244">
        <v>3</v>
      </c>
      <c r="E244" s="1" t="s">
        <v>17</v>
      </c>
      <c r="F244" s="1" t="s">
        <v>851</v>
      </c>
      <c r="G244">
        <v>0</v>
      </c>
      <c r="H244" s="1" t="s">
        <v>17</v>
      </c>
      <c r="I244">
        <v>13.400670241152461</v>
      </c>
      <c r="J244" s="1" t="s">
        <v>852</v>
      </c>
      <c r="K244">
        <v>0</v>
      </c>
      <c r="L244">
        <v>0</v>
      </c>
      <c r="M244">
        <v>3600.6970000000001</v>
      </c>
      <c r="N244">
        <v>13.400670241152461</v>
      </c>
    </row>
    <row r="245" spans="1:14" hidden="1" x14ac:dyDescent="0.3">
      <c r="A245" s="1" t="s">
        <v>932</v>
      </c>
      <c r="B245" s="1" t="s">
        <v>18</v>
      </c>
      <c r="C245" s="1" t="s">
        <v>19</v>
      </c>
      <c r="D245">
        <v>4</v>
      </c>
      <c r="E245" s="1" t="s">
        <v>17</v>
      </c>
      <c r="F245" s="1" t="s">
        <v>851</v>
      </c>
      <c r="G245">
        <v>0</v>
      </c>
      <c r="H245" s="1" t="s">
        <v>17</v>
      </c>
      <c r="I245">
        <v>11.805748531562413</v>
      </c>
      <c r="J245" s="1" t="s">
        <v>852</v>
      </c>
      <c r="K245">
        <v>0</v>
      </c>
      <c r="L245">
        <v>0</v>
      </c>
      <c r="M245">
        <v>3600.7330000000002</v>
      </c>
      <c r="N245">
        <v>11.805748531562413</v>
      </c>
    </row>
    <row r="246" spans="1:14" hidden="1" x14ac:dyDescent="0.3">
      <c r="A246" s="1" t="s">
        <v>943</v>
      </c>
      <c r="B246" s="1" t="s">
        <v>18</v>
      </c>
      <c r="C246" s="1" t="s">
        <v>19</v>
      </c>
      <c r="D246">
        <v>5</v>
      </c>
      <c r="E246" s="1" t="s">
        <v>17</v>
      </c>
      <c r="F246" s="1" t="s">
        <v>851</v>
      </c>
      <c r="G246">
        <v>0</v>
      </c>
      <c r="H246" s="1" t="s">
        <v>17</v>
      </c>
      <c r="I246">
        <v>25.023901496976364</v>
      </c>
      <c r="J246" s="1" t="s">
        <v>852</v>
      </c>
      <c r="K246">
        <v>0</v>
      </c>
      <c r="L246">
        <v>12.047395139822598</v>
      </c>
      <c r="M246">
        <v>3600.3879999999999</v>
      </c>
      <c r="N246">
        <v>12.976506357153767</v>
      </c>
    </row>
    <row r="247" spans="1:14" hidden="1" x14ac:dyDescent="0.3">
      <c r="A247" s="1" t="s">
        <v>1039</v>
      </c>
      <c r="B247" s="1" t="s">
        <v>21</v>
      </c>
      <c r="C247" s="1" t="s">
        <v>22</v>
      </c>
      <c r="D247">
        <v>1</v>
      </c>
      <c r="E247" s="1" t="s">
        <v>17</v>
      </c>
      <c r="F247" s="1" t="s">
        <v>851</v>
      </c>
      <c r="G247">
        <v>0</v>
      </c>
      <c r="H247" s="1" t="s">
        <v>17</v>
      </c>
      <c r="I247">
        <v>64.829285100747057</v>
      </c>
      <c r="J247" s="1" t="s">
        <v>852</v>
      </c>
      <c r="K247">
        <v>0</v>
      </c>
      <c r="L247">
        <v>34.931874101451825</v>
      </c>
      <c r="M247">
        <v>3601.125</v>
      </c>
      <c r="N247">
        <v>29.897410999295232</v>
      </c>
    </row>
    <row r="248" spans="1:14" hidden="1" x14ac:dyDescent="0.3">
      <c r="A248" s="1" t="s">
        <v>1052</v>
      </c>
      <c r="B248" s="1" t="s">
        <v>21</v>
      </c>
      <c r="C248" s="1" t="s">
        <v>22</v>
      </c>
      <c r="D248">
        <v>2</v>
      </c>
      <c r="E248" s="1" t="s">
        <v>17</v>
      </c>
      <c r="F248" s="1" t="s">
        <v>1053</v>
      </c>
      <c r="G248">
        <v>0</v>
      </c>
      <c r="H248" s="1" t="s">
        <v>17</v>
      </c>
      <c r="I248">
        <v>70.980649552130075</v>
      </c>
      <c r="J248" s="1" t="s">
        <v>1054</v>
      </c>
      <c r="K248">
        <v>0</v>
      </c>
      <c r="L248">
        <v>42.841356264415822</v>
      </c>
      <c r="M248">
        <v>3600.2040000000002</v>
      </c>
      <c r="N248">
        <v>28.139293287714253</v>
      </c>
    </row>
    <row r="249" spans="1:14" hidden="1" x14ac:dyDescent="0.3">
      <c r="A249" s="1" t="s">
        <v>1066</v>
      </c>
      <c r="B249" s="1" t="s">
        <v>21</v>
      </c>
      <c r="C249" s="1" t="s">
        <v>22</v>
      </c>
      <c r="D249">
        <v>3</v>
      </c>
      <c r="E249" s="1" t="s">
        <v>17</v>
      </c>
      <c r="F249" s="1" t="s">
        <v>1067</v>
      </c>
      <c r="G249">
        <v>0</v>
      </c>
      <c r="H249" s="1" t="s">
        <v>17</v>
      </c>
      <c r="I249">
        <v>69.676476474170087</v>
      </c>
      <c r="J249" s="1" t="s">
        <v>1068</v>
      </c>
      <c r="K249">
        <v>0</v>
      </c>
      <c r="L249">
        <v>35.958932693212375</v>
      </c>
      <c r="M249">
        <v>3600.0770000000002</v>
      </c>
      <c r="N249">
        <v>33.717543780957712</v>
      </c>
    </row>
    <row r="250" spans="1:14" hidden="1" x14ac:dyDescent="0.3">
      <c r="A250" s="1" t="s">
        <v>1082</v>
      </c>
      <c r="B250" s="1" t="s">
        <v>21</v>
      </c>
      <c r="C250" s="1" t="s">
        <v>22</v>
      </c>
      <c r="D250">
        <v>4</v>
      </c>
      <c r="E250" s="1" t="s">
        <v>17</v>
      </c>
      <c r="F250" s="1" t="s">
        <v>1083</v>
      </c>
      <c r="G250">
        <v>0</v>
      </c>
      <c r="H250" s="1" t="s">
        <v>17</v>
      </c>
      <c r="I250">
        <v>78.271160061412729</v>
      </c>
      <c r="J250" s="1" t="s">
        <v>1084</v>
      </c>
      <c r="K250">
        <v>0</v>
      </c>
      <c r="L250">
        <v>49.110202057621464</v>
      </c>
      <c r="M250">
        <v>3600.78</v>
      </c>
      <c r="N250">
        <v>29.160958003791258</v>
      </c>
    </row>
    <row r="251" spans="1:14" hidden="1" x14ac:dyDescent="0.3">
      <c r="A251" s="1" t="s">
        <v>1098</v>
      </c>
      <c r="B251" s="1" t="s">
        <v>21</v>
      </c>
      <c r="C251" s="1" t="s">
        <v>22</v>
      </c>
      <c r="D251">
        <v>5</v>
      </c>
      <c r="E251" s="1" t="s">
        <v>17</v>
      </c>
      <c r="F251" s="1" t="s">
        <v>1099</v>
      </c>
      <c r="G251">
        <v>0</v>
      </c>
      <c r="H251" s="1" t="s">
        <v>17</v>
      </c>
      <c r="I251">
        <v>62.510251854889006</v>
      </c>
      <c r="J251" s="1" t="s">
        <v>1100</v>
      </c>
      <c r="K251">
        <v>0</v>
      </c>
      <c r="L251">
        <v>32.763176297836551</v>
      </c>
      <c r="M251">
        <v>3600.2910000000002</v>
      </c>
      <c r="N251">
        <v>29.747075557052455</v>
      </c>
    </row>
    <row r="252" spans="1:14" hidden="1" x14ac:dyDescent="0.3">
      <c r="A252" s="1" t="s">
        <v>1120</v>
      </c>
      <c r="B252" s="1" t="s">
        <v>23</v>
      </c>
      <c r="C252" s="1" t="s">
        <v>24</v>
      </c>
      <c r="D252">
        <v>1</v>
      </c>
      <c r="E252" s="1" t="s">
        <v>17</v>
      </c>
      <c r="F252" s="1" t="s">
        <v>1121</v>
      </c>
      <c r="G252">
        <v>0</v>
      </c>
      <c r="H252" s="1" t="s">
        <v>17</v>
      </c>
      <c r="I252">
        <v>91.979848925871863</v>
      </c>
      <c r="J252" s="1" t="s">
        <v>1122</v>
      </c>
      <c r="K252">
        <v>0</v>
      </c>
      <c r="L252">
        <v>46.964825057053353</v>
      </c>
      <c r="M252">
        <v>3600.2640000000001</v>
      </c>
      <c r="N252">
        <v>45.01502386881851</v>
      </c>
    </row>
    <row r="253" spans="1:14" hidden="1" x14ac:dyDescent="0.3">
      <c r="A253" s="1" t="s">
        <v>1137</v>
      </c>
      <c r="B253" s="1" t="s">
        <v>23</v>
      </c>
      <c r="C253" s="1" t="s">
        <v>24</v>
      </c>
      <c r="D253">
        <v>2</v>
      </c>
      <c r="E253" s="1" t="s">
        <v>17</v>
      </c>
      <c r="F253" s="1" t="s">
        <v>1138</v>
      </c>
      <c r="G253">
        <v>0</v>
      </c>
      <c r="H253" s="1" t="s">
        <v>17</v>
      </c>
      <c r="I253">
        <v>72.714030002806155</v>
      </c>
      <c r="J253" s="1" t="s">
        <v>1122</v>
      </c>
      <c r="K253">
        <v>0</v>
      </c>
      <c r="L253">
        <v>29.737779141386653</v>
      </c>
      <c r="M253">
        <v>3600.7379999999998</v>
      </c>
      <c r="N253">
        <v>42.976250861419501</v>
      </c>
    </row>
    <row r="254" spans="1:14" hidden="1" x14ac:dyDescent="0.3">
      <c r="A254" s="1" t="s">
        <v>1152</v>
      </c>
      <c r="B254" s="1" t="s">
        <v>23</v>
      </c>
      <c r="C254" s="1" t="s">
        <v>24</v>
      </c>
      <c r="D254">
        <v>3</v>
      </c>
      <c r="E254" s="1" t="s">
        <v>17</v>
      </c>
      <c r="F254" s="1" t="s">
        <v>1153</v>
      </c>
      <c r="G254">
        <v>0</v>
      </c>
      <c r="H254" s="1" t="s">
        <v>17</v>
      </c>
      <c r="I254">
        <v>77.321310908993595</v>
      </c>
      <c r="J254" s="1" t="s">
        <v>1122</v>
      </c>
      <c r="K254">
        <v>0</v>
      </c>
      <c r="L254">
        <v>35.396749590623038</v>
      </c>
      <c r="M254">
        <v>3600.7249999999999</v>
      </c>
      <c r="N254">
        <v>41.924561318370557</v>
      </c>
    </row>
    <row r="255" spans="1:14" hidden="1" x14ac:dyDescent="0.3">
      <c r="A255" s="1" t="s">
        <v>1165</v>
      </c>
      <c r="B255" s="1" t="s">
        <v>23</v>
      </c>
      <c r="C255" s="1" t="s">
        <v>24</v>
      </c>
      <c r="D255">
        <v>4</v>
      </c>
      <c r="E255" s="1" t="s">
        <v>17</v>
      </c>
      <c r="F255" s="1" t="s">
        <v>1166</v>
      </c>
      <c r="G255">
        <v>0</v>
      </c>
      <c r="H255" s="1" t="s">
        <v>17</v>
      </c>
      <c r="I255">
        <v>85.735369665674398</v>
      </c>
      <c r="J255" s="1" t="s">
        <v>1167</v>
      </c>
      <c r="K255">
        <v>0</v>
      </c>
      <c r="L255">
        <v>44.665394412269805</v>
      </c>
      <c r="M255">
        <v>3600.1120000000001</v>
      </c>
      <c r="N255">
        <v>41.069975253404586</v>
      </c>
    </row>
    <row r="256" spans="1:14" hidden="1" x14ac:dyDescent="0.3">
      <c r="A256" s="1" t="s">
        <v>1186</v>
      </c>
      <c r="B256" s="1" t="s">
        <v>23</v>
      </c>
      <c r="C256" s="1" t="s">
        <v>24</v>
      </c>
      <c r="D256">
        <v>5</v>
      </c>
      <c r="E256" s="1" t="s">
        <v>17</v>
      </c>
      <c r="F256" s="1" t="s">
        <v>1187</v>
      </c>
      <c r="G256">
        <v>0</v>
      </c>
      <c r="H256" s="1" t="s">
        <v>17</v>
      </c>
      <c r="I256">
        <v>62.523183974412945</v>
      </c>
      <c r="J256" s="1" t="s">
        <v>1167</v>
      </c>
      <c r="K256">
        <v>0</v>
      </c>
      <c r="L256">
        <v>23.269953062444337</v>
      </c>
      <c r="M256">
        <v>3600.4430000000002</v>
      </c>
      <c r="N256">
        <v>39.253230911968608</v>
      </c>
    </row>
    <row r="257" spans="1:14" hidden="1" x14ac:dyDescent="0.3">
      <c r="A257" s="1" t="s">
        <v>1284</v>
      </c>
      <c r="B257" s="1" t="s">
        <v>26</v>
      </c>
      <c r="C257" s="1" t="s">
        <v>27</v>
      </c>
      <c r="D257">
        <v>1</v>
      </c>
      <c r="E257" s="1" t="s">
        <v>17</v>
      </c>
      <c r="F257" s="1" t="s">
        <v>1285</v>
      </c>
      <c r="G257">
        <v>0</v>
      </c>
      <c r="H257" s="1" t="s">
        <v>17</v>
      </c>
      <c r="I257">
        <v>108.97995084877874</v>
      </c>
      <c r="J257" s="1" t="s">
        <v>1167</v>
      </c>
      <c r="K257">
        <v>0</v>
      </c>
      <c r="L257">
        <v>52.653925142790399</v>
      </c>
      <c r="M257">
        <v>3600.5360000000001</v>
      </c>
      <c r="N257">
        <v>56.32602570598835</v>
      </c>
    </row>
    <row r="258" spans="1:14" hidden="1" x14ac:dyDescent="0.3">
      <c r="A258" s="1" t="s">
        <v>1305</v>
      </c>
      <c r="B258" s="1" t="s">
        <v>26</v>
      </c>
      <c r="C258" s="1" t="s">
        <v>27</v>
      </c>
      <c r="D258">
        <v>2</v>
      </c>
      <c r="E258" s="1" t="s">
        <v>17</v>
      </c>
      <c r="F258" s="1" t="s">
        <v>1306</v>
      </c>
      <c r="G258">
        <v>0</v>
      </c>
      <c r="H258" s="1" t="s">
        <v>17</v>
      </c>
      <c r="I258">
        <v>104.71834683058242</v>
      </c>
      <c r="J258" s="1" t="s">
        <v>1167</v>
      </c>
      <c r="K258">
        <v>0</v>
      </c>
      <c r="L258">
        <v>44.921983834442521</v>
      </c>
      <c r="M258">
        <v>3600.8510000000001</v>
      </c>
      <c r="N258">
        <v>59.796362996139891</v>
      </c>
    </row>
    <row r="259" spans="1:14" hidden="1" x14ac:dyDescent="0.3">
      <c r="A259" s="1" t="s">
        <v>1323</v>
      </c>
      <c r="B259" s="1" t="s">
        <v>26</v>
      </c>
      <c r="C259" s="1" t="s">
        <v>27</v>
      </c>
      <c r="D259">
        <v>3</v>
      </c>
      <c r="E259" s="1" t="s">
        <v>17</v>
      </c>
      <c r="F259" s="1" t="s">
        <v>1324</v>
      </c>
      <c r="G259">
        <v>0</v>
      </c>
      <c r="H259" s="1" t="s">
        <v>17</v>
      </c>
      <c r="I259">
        <v>128.27070354654091</v>
      </c>
      <c r="J259" s="1" t="s">
        <v>1325</v>
      </c>
      <c r="K259">
        <v>0</v>
      </c>
      <c r="L259">
        <v>69.66160176731799</v>
      </c>
      <c r="M259">
        <v>3600.8310000000001</v>
      </c>
      <c r="N259">
        <v>58.609101779222939</v>
      </c>
    </row>
    <row r="260" spans="1:14" hidden="1" x14ac:dyDescent="0.3">
      <c r="A260" s="1" t="s">
        <v>1343</v>
      </c>
      <c r="B260" s="1" t="s">
        <v>26</v>
      </c>
      <c r="C260" s="1" t="s">
        <v>27</v>
      </c>
      <c r="D260">
        <v>4</v>
      </c>
      <c r="E260" s="1" t="s">
        <v>17</v>
      </c>
      <c r="F260" s="1" t="s">
        <v>1344</v>
      </c>
      <c r="G260">
        <v>0</v>
      </c>
      <c r="H260" s="1" t="s">
        <v>17</v>
      </c>
      <c r="I260">
        <v>87.003727225163431</v>
      </c>
      <c r="J260" s="1" t="s">
        <v>1345</v>
      </c>
      <c r="K260">
        <v>0</v>
      </c>
      <c r="L260">
        <v>20.69352797121196</v>
      </c>
      <c r="M260">
        <v>3600.5479999999998</v>
      </c>
      <c r="N260">
        <v>66.310199253951467</v>
      </c>
    </row>
    <row r="261" spans="1:14" hidden="1" x14ac:dyDescent="0.3">
      <c r="A261" s="1" t="s">
        <v>1365</v>
      </c>
      <c r="B261" s="1" t="s">
        <v>26</v>
      </c>
      <c r="C261" s="1" t="s">
        <v>27</v>
      </c>
      <c r="D261">
        <v>5</v>
      </c>
      <c r="E261" s="1" t="s">
        <v>17</v>
      </c>
      <c r="F261" s="1" t="s">
        <v>1366</v>
      </c>
      <c r="G261">
        <v>0</v>
      </c>
      <c r="H261" s="1" t="s">
        <v>17</v>
      </c>
      <c r="I261">
        <v>101.63075144945441</v>
      </c>
      <c r="J261" s="1" t="s">
        <v>1367</v>
      </c>
      <c r="K261">
        <v>0</v>
      </c>
      <c r="L261">
        <v>53.398171015742548</v>
      </c>
      <c r="M261">
        <v>3600.319</v>
      </c>
      <c r="N261">
        <v>48.23258043371186</v>
      </c>
    </row>
    <row r="262" spans="1:14" hidden="1" x14ac:dyDescent="0.3">
      <c r="A262" s="1" t="s">
        <v>963</v>
      </c>
      <c r="B262" s="1" t="s">
        <v>20</v>
      </c>
      <c r="C262" s="1" t="s">
        <v>19</v>
      </c>
      <c r="D262">
        <v>1</v>
      </c>
      <c r="E262" s="1" t="s">
        <v>17</v>
      </c>
      <c r="F262" s="1" t="s">
        <v>964</v>
      </c>
      <c r="G262">
        <v>0</v>
      </c>
      <c r="H262" s="1" t="s">
        <v>17</v>
      </c>
      <c r="I262">
        <v>205.52730270642888</v>
      </c>
      <c r="J262" s="1" t="s">
        <v>965</v>
      </c>
      <c r="K262">
        <v>0</v>
      </c>
      <c r="L262">
        <v>122.95429208630105</v>
      </c>
      <c r="M262">
        <v>3600.1489999999999</v>
      </c>
      <c r="N262">
        <v>82.573010620127832</v>
      </c>
    </row>
    <row r="263" spans="1:14" hidden="1" x14ac:dyDescent="0.3">
      <c r="A263" s="1" t="s">
        <v>978</v>
      </c>
      <c r="B263" s="1" t="s">
        <v>20</v>
      </c>
      <c r="C263" s="1" t="s">
        <v>19</v>
      </c>
      <c r="D263">
        <v>2</v>
      </c>
      <c r="E263" s="1" t="s">
        <v>17</v>
      </c>
      <c r="F263" s="1" t="s">
        <v>979</v>
      </c>
      <c r="G263">
        <v>0</v>
      </c>
      <c r="H263" s="1" t="s">
        <v>17</v>
      </c>
      <c r="I263">
        <v>183.35574935965286</v>
      </c>
      <c r="J263" s="1" t="s">
        <v>980</v>
      </c>
      <c r="K263">
        <v>0</v>
      </c>
      <c r="L263">
        <v>93.348075569334938</v>
      </c>
      <c r="M263">
        <v>3600.98</v>
      </c>
      <c r="N263">
        <v>90.007673790317909</v>
      </c>
    </row>
    <row r="264" spans="1:14" hidden="1" x14ac:dyDescent="0.3">
      <c r="A264" s="1" t="s">
        <v>994</v>
      </c>
      <c r="B264" s="1" t="s">
        <v>20</v>
      </c>
      <c r="C264" s="1" t="s">
        <v>19</v>
      </c>
      <c r="D264">
        <v>3</v>
      </c>
      <c r="E264" s="1" t="s">
        <v>17</v>
      </c>
      <c r="F264" s="1" t="s">
        <v>995</v>
      </c>
      <c r="G264">
        <v>0</v>
      </c>
      <c r="H264" s="1" t="s">
        <v>17</v>
      </c>
      <c r="I264">
        <v>81.954710528450846</v>
      </c>
      <c r="J264" s="1" t="s">
        <v>980</v>
      </c>
      <c r="K264">
        <v>0</v>
      </c>
      <c r="L264">
        <v>19.92851570238291</v>
      </c>
      <c r="M264">
        <v>3601.0549999999998</v>
      </c>
      <c r="N264">
        <v>62.026194826067943</v>
      </c>
    </row>
    <row r="265" spans="1:14" hidden="1" x14ac:dyDescent="0.3">
      <c r="A265" s="1" t="s">
        <v>1009</v>
      </c>
      <c r="B265" s="1" t="s">
        <v>20</v>
      </c>
      <c r="C265" s="1" t="s">
        <v>19</v>
      </c>
      <c r="D265">
        <v>4</v>
      </c>
      <c r="E265" s="1" t="s">
        <v>17</v>
      </c>
      <c r="F265" s="1" t="s">
        <v>1010</v>
      </c>
      <c r="G265">
        <v>0</v>
      </c>
      <c r="H265" s="1" t="s">
        <v>17</v>
      </c>
      <c r="I265">
        <v>80.556133737701046</v>
      </c>
      <c r="J265" s="1" t="s">
        <v>980</v>
      </c>
      <c r="K265">
        <v>0</v>
      </c>
      <c r="L265">
        <v>15.194663018418055</v>
      </c>
      <c r="M265">
        <v>3600.598</v>
      </c>
      <c r="N265">
        <v>65.361470719282991</v>
      </c>
    </row>
    <row r="266" spans="1:14" hidden="1" x14ac:dyDescent="0.3">
      <c r="A266" s="1" t="s">
        <v>1027</v>
      </c>
      <c r="B266" s="1" t="s">
        <v>20</v>
      </c>
      <c r="C266" s="1" t="s">
        <v>19</v>
      </c>
      <c r="D266">
        <v>5</v>
      </c>
      <c r="E266" s="1" t="s">
        <v>17</v>
      </c>
      <c r="F266" s="1" t="s">
        <v>1028</v>
      </c>
      <c r="G266">
        <v>0</v>
      </c>
      <c r="H266" s="1" t="s">
        <v>17</v>
      </c>
      <c r="I266">
        <v>151.27740877651684</v>
      </c>
      <c r="J266" s="1" t="s">
        <v>980</v>
      </c>
      <c r="K266">
        <v>0</v>
      </c>
      <c r="L266">
        <v>64.148326247321961</v>
      </c>
      <c r="M266">
        <v>3600.4659999999999</v>
      </c>
      <c r="N266">
        <v>87.129082529194861</v>
      </c>
    </row>
    <row r="267" spans="1:14" hidden="1" x14ac:dyDescent="0.3">
      <c r="A267" s="1" t="s">
        <v>1201</v>
      </c>
      <c r="B267" s="1" t="s">
        <v>25</v>
      </c>
      <c r="C267" s="1" t="s">
        <v>24</v>
      </c>
      <c r="D267">
        <v>1</v>
      </c>
      <c r="E267" s="1" t="s">
        <v>17</v>
      </c>
      <c r="F267" s="1" t="s">
        <v>1202</v>
      </c>
      <c r="G267">
        <v>0</v>
      </c>
      <c r="H267" s="1" t="s">
        <v>17</v>
      </c>
      <c r="I267">
        <v>392.24324042638239</v>
      </c>
      <c r="J267" s="1" t="s">
        <v>980</v>
      </c>
      <c r="K267">
        <v>0</v>
      </c>
      <c r="L267">
        <v>155.91535586059547</v>
      </c>
      <c r="M267">
        <v>3601.25</v>
      </c>
      <c r="N267">
        <v>236.32788456578689</v>
      </c>
    </row>
    <row r="268" spans="1:14" hidden="1" x14ac:dyDescent="0.3">
      <c r="A268" s="1" t="s">
        <v>1214</v>
      </c>
      <c r="B268" s="1" t="s">
        <v>25</v>
      </c>
      <c r="C268" s="1" t="s">
        <v>24</v>
      </c>
      <c r="D268">
        <v>2</v>
      </c>
      <c r="E268" s="1" t="s">
        <v>17</v>
      </c>
      <c r="F268" s="1" t="s">
        <v>1215</v>
      </c>
      <c r="G268">
        <v>0</v>
      </c>
      <c r="H268" s="1" t="s">
        <v>17</v>
      </c>
      <c r="I268">
        <v>573.5194773302303</v>
      </c>
      <c r="J268" s="1" t="s">
        <v>980</v>
      </c>
      <c r="K268">
        <v>0</v>
      </c>
      <c r="L268">
        <v>325.05645843611995</v>
      </c>
      <c r="M268">
        <v>3600.75</v>
      </c>
      <c r="N268">
        <v>248.46301889411035</v>
      </c>
    </row>
    <row r="269" spans="1:14" hidden="1" x14ac:dyDescent="0.3">
      <c r="A269" s="1" t="s">
        <v>1228</v>
      </c>
      <c r="B269" s="1" t="s">
        <v>25</v>
      </c>
      <c r="C269" s="1" t="s">
        <v>24</v>
      </c>
      <c r="D269">
        <v>3</v>
      </c>
      <c r="E269" s="1" t="s">
        <v>17</v>
      </c>
      <c r="F269" s="1" t="s">
        <v>1229</v>
      </c>
      <c r="G269">
        <v>0</v>
      </c>
      <c r="H269" s="1" t="s">
        <v>17</v>
      </c>
      <c r="I269">
        <v>385.69985569597918</v>
      </c>
      <c r="J269" s="1" t="s">
        <v>1230</v>
      </c>
      <c r="K269">
        <v>0</v>
      </c>
      <c r="L269">
        <v>169.56936088641496</v>
      </c>
      <c r="M269">
        <v>3620.7750000000001</v>
      </c>
      <c r="N269">
        <v>216.13049480956423</v>
      </c>
    </row>
    <row r="270" spans="1:14" hidden="1" x14ac:dyDescent="0.3">
      <c r="A270" s="1" t="s">
        <v>1246</v>
      </c>
      <c r="B270" s="1" t="s">
        <v>25</v>
      </c>
      <c r="C270" s="1" t="s">
        <v>24</v>
      </c>
      <c r="D270">
        <v>4</v>
      </c>
      <c r="E270" s="1" t="s">
        <v>17</v>
      </c>
      <c r="F270" s="1" t="s">
        <v>1247</v>
      </c>
      <c r="G270">
        <v>20</v>
      </c>
      <c r="H270" s="1" t="s">
        <v>17</v>
      </c>
      <c r="I270">
        <v>619.93771405844745</v>
      </c>
      <c r="J270" s="1" t="s">
        <v>1248</v>
      </c>
      <c r="K270">
        <v>0</v>
      </c>
      <c r="L270">
        <v>348.77967410767474</v>
      </c>
      <c r="M270">
        <v>3601.17</v>
      </c>
      <c r="N270">
        <v>251.15803995077277</v>
      </c>
    </row>
    <row r="271" spans="1:14" hidden="1" x14ac:dyDescent="0.3">
      <c r="A271" s="1" t="s">
        <v>1262</v>
      </c>
      <c r="B271" s="1" t="s">
        <v>25</v>
      </c>
      <c r="C271" s="1" t="s">
        <v>24</v>
      </c>
      <c r="D271">
        <v>5</v>
      </c>
      <c r="E271" s="1" t="s">
        <v>17</v>
      </c>
      <c r="F271" s="1" t="s">
        <v>1263</v>
      </c>
      <c r="G271">
        <v>20</v>
      </c>
      <c r="H271" s="1" t="s">
        <v>17</v>
      </c>
      <c r="I271">
        <v>545.05236410620807</v>
      </c>
      <c r="J271" s="1" t="s">
        <v>1264</v>
      </c>
      <c r="K271">
        <v>0</v>
      </c>
      <c r="L271">
        <v>287.24097062037288</v>
      </c>
      <c r="M271">
        <v>3600.95</v>
      </c>
      <c r="N271">
        <v>237.8113934858352</v>
      </c>
    </row>
    <row r="272" spans="1:14" hidden="1" x14ac:dyDescent="0.3">
      <c r="A272" s="1" t="s">
        <v>1378</v>
      </c>
      <c r="B272" s="1" t="s">
        <v>28</v>
      </c>
      <c r="C272" s="1" t="s">
        <v>29</v>
      </c>
      <c r="D272">
        <v>1</v>
      </c>
      <c r="E272" s="1" t="s">
        <v>17</v>
      </c>
      <c r="F272" s="1" t="s">
        <v>1379</v>
      </c>
      <c r="G272">
        <v>20</v>
      </c>
      <c r="H272" s="1" t="s">
        <v>17</v>
      </c>
      <c r="I272">
        <v>838.07381999538552</v>
      </c>
      <c r="J272" s="1" t="s">
        <v>1380</v>
      </c>
      <c r="K272">
        <v>0</v>
      </c>
      <c r="L272">
        <v>362.33162982766538</v>
      </c>
      <c r="M272">
        <v>3601.5070000000001</v>
      </c>
      <c r="N272">
        <v>455.74219016772008</v>
      </c>
    </row>
    <row r="273" spans="1:14" hidden="1" x14ac:dyDescent="0.3">
      <c r="A273" s="1" t="s">
        <v>1394</v>
      </c>
      <c r="B273" s="1" t="s">
        <v>28</v>
      </c>
      <c r="C273" s="1" t="s">
        <v>29</v>
      </c>
      <c r="D273">
        <v>2</v>
      </c>
      <c r="E273" s="1" t="s">
        <v>17</v>
      </c>
      <c r="F273" s="1" t="s">
        <v>1395</v>
      </c>
      <c r="G273">
        <v>40</v>
      </c>
      <c r="H273" s="1" t="s">
        <v>17</v>
      </c>
      <c r="I273">
        <v>968.81097812557516</v>
      </c>
      <c r="J273" s="1" t="s">
        <v>1396</v>
      </c>
      <c r="K273">
        <v>0</v>
      </c>
      <c r="L273">
        <v>490.06088065081508</v>
      </c>
      <c r="M273">
        <v>3601.7339999999999</v>
      </c>
      <c r="N273">
        <v>438.75009747476008</v>
      </c>
    </row>
    <row r="274" spans="1:14" hidden="1" x14ac:dyDescent="0.3">
      <c r="A274" s="1" t="s">
        <v>1407</v>
      </c>
      <c r="B274" s="1" t="s">
        <v>28</v>
      </c>
      <c r="C274" s="1" t="s">
        <v>29</v>
      </c>
      <c r="D274">
        <v>3</v>
      </c>
      <c r="E274" s="1" t="s">
        <v>17</v>
      </c>
      <c r="F274" s="1" t="s">
        <v>1408</v>
      </c>
      <c r="G274">
        <v>40</v>
      </c>
      <c r="H274" s="1" t="s">
        <v>17</v>
      </c>
      <c r="I274">
        <v>938.57674353531115</v>
      </c>
      <c r="J274" s="1" t="s">
        <v>1409</v>
      </c>
      <c r="K274">
        <v>0</v>
      </c>
      <c r="L274">
        <v>464.88981002732481</v>
      </c>
      <c r="M274">
        <v>3601.12</v>
      </c>
      <c r="N274">
        <v>433.6869335079864</v>
      </c>
    </row>
    <row r="275" spans="1:14" hidden="1" x14ac:dyDescent="0.3">
      <c r="A275" s="1" t="s">
        <v>1420</v>
      </c>
      <c r="B275" s="1" t="s">
        <v>28</v>
      </c>
      <c r="C275" s="1" t="s">
        <v>29</v>
      </c>
      <c r="D275">
        <v>4</v>
      </c>
      <c r="E275" s="1" t="s">
        <v>17</v>
      </c>
      <c r="F275" s="1" t="s">
        <v>1421</v>
      </c>
      <c r="G275">
        <v>20</v>
      </c>
      <c r="H275" s="1" t="s">
        <v>17</v>
      </c>
      <c r="I275">
        <v>826.38646171932078</v>
      </c>
      <c r="J275" s="1" t="s">
        <v>1409</v>
      </c>
      <c r="K275">
        <v>0</v>
      </c>
      <c r="L275">
        <v>377.55824444076848</v>
      </c>
      <c r="M275">
        <v>3602.25</v>
      </c>
      <c r="N275">
        <v>428.8282172785523</v>
      </c>
    </row>
    <row r="276" spans="1:14" hidden="1" x14ac:dyDescent="0.3">
      <c r="A276" s="1" t="s">
        <v>1430</v>
      </c>
      <c r="B276" s="1" t="s">
        <v>28</v>
      </c>
      <c r="C276" s="1" t="s">
        <v>29</v>
      </c>
      <c r="D276">
        <v>5</v>
      </c>
      <c r="E276" s="1" t="s">
        <v>17</v>
      </c>
      <c r="F276" s="1" t="s">
        <v>1431</v>
      </c>
      <c r="G276">
        <v>40</v>
      </c>
      <c r="H276" s="1" t="s">
        <v>17</v>
      </c>
      <c r="I276">
        <v>881.82858680770642</v>
      </c>
      <c r="J276" s="1" t="s">
        <v>1409</v>
      </c>
      <c r="K276">
        <v>0</v>
      </c>
      <c r="L276">
        <v>418.72338575250984</v>
      </c>
      <c r="M276">
        <v>3600.8939999999998</v>
      </c>
      <c r="N276">
        <v>423.10520105519663</v>
      </c>
    </row>
    <row r="277" spans="1:14" hidden="1" x14ac:dyDescent="0.3">
      <c r="A277" s="1" t="s">
        <v>1442</v>
      </c>
      <c r="B277" s="1" t="s">
        <v>30</v>
      </c>
      <c r="C277" s="1" t="s">
        <v>31</v>
      </c>
      <c r="D277">
        <v>1</v>
      </c>
      <c r="E277" s="1" t="s">
        <v>17</v>
      </c>
      <c r="F277" s="1" t="s">
        <v>1443</v>
      </c>
      <c r="G277">
        <v>40</v>
      </c>
      <c r="H277" s="1" t="s">
        <v>17</v>
      </c>
      <c r="I277">
        <v>1185.9361243671656</v>
      </c>
      <c r="J277" s="1" t="s">
        <v>1409</v>
      </c>
      <c r="K277">
        <v>0</v>
      </c>
      <c r="L277">
        <v>466.65040628063679</v>
      </c>
      <c r="M277">
        <v>3602.19</v>
      </c>
      <c r="N277">
        <v>679.28571808652885</v>
      </c>
    </row>
    <row r="278" spans="1:14" hidden="1" x14ac:dyDescent="0.3">
      <c r="A278" s="1" t="s">
        <v>1453</v>
      </c>
      <c r="B278" s="1" t="s">
        <v>30</v>
      </c>
      <c r="C278" s="1" t="s">
        <v>31</v>
      </c>
      <c r="D278">
        <v>2</v>
      </c>
      <c r="E278" s="1" t="s">
        <v>17</v>
      </c>
      <c r="F278" s="1" t="s">
        <v>1454</v>
      </c>
      <c r="G278">
        <v>60</v>
      </c>
      <c r="H278" s="1" t="s">
        <v>17</v>
      </c>
      <c r="I278">
        <v>1357.1002507248209</v>
      </c>
      <c r="J278" s="1" t="s">
        <v>1409</v>
      </c>
      <c r="K278">
        <v>0</v>
      </c>
      <c r="L278">
        <v>628.68321131842765</v>
      </c>
      <c r="M278">
        <v>3602.22</v>
      </c>
      <c r="N278">
        <v>668.41703940639309</v>
      </c>
    </row>
    <row r="279" spans="1:14" hidden="1" x14ac:dyDescent="0.3">
      <c r="A279" s="1" t="s">
        <v>1464</v>
      </c>
      <c r="B279" s="1" t="s">
        <v>30</v>
      </c>
      <c r="C279" s="1" t="s">
        <v>31</v>
      </c>
      <c r="D279">
        <v>3</v>
      </c>
      <c r="E279" s="1" t="s">
        <v>17</v>
      </c>
      <c r="F279" s="1" t="s">
        <v>1465</v>
      </c>
      <c r="G279">
        <v>20</v>
      </c>
      <c r="H279" s="1" t="s">
        <v>17</v>
      </c>
      <c r="I279">
        <v>1206.1640576522345</v>
      </c>
      <c r="J279" s="1" t="s">
        <v>1409</v>
      </c>
      <c r="K279">
        <v>0</v>
      </c>
      <c r="L279">
        <v>493.5686614070645</v>
      </c>
      <c r="M279">
        <v>3600.9380000000001</v>
      </c>
      <c r="N279">
        <v>692.59539624517004</v>
      </c>
    </row>
    <row r="280" spans="1:14" hidden="1" x14ac:dyDescent="0.3">
      <c r="A280" s="1" t="s">
        <v>1477</v>
      </c>
      <c r="B280" s="1" t="s">
        <v>30</v>
      </c>
      <c r="C280" s="1" t="s">
        <v>31</v>
      </c>
      <c r="D280">
        <v>4</v>
      </c>
      <c r="E280" s="1" t="s">
        <v>17</v>
      </c>
      <c r="F280" s="1" t="s">
        <v>1478</v>
      </c>
      <c r="G280">
        <v>40</v>
      </c>
      <c r="H280" s="1" t="s">
        <v>17</v>
      </c>
      <c r="I280">
        <v>1294.1472189234028</v>
      </c>
      <c r="J280" s="1" t="s">
        <v>1479</v>
      </c>
      <c r="K280">
        <v>0</v>
      </c>
      <c r="L280">
        <v>530.3606589572754</v>
      </c>
      <c r="M280">
        <v>3601.1509999999998</v>
      </c>
      <c r="N280">
        <v>723.78655996612747</v>
      </c>
    </row>
    <row r="281" spans="1:14" hidden="1" x14ac:dyDescent="0.3">
      <c r="A281" s="1" t="s">
        <v>1491</v>
      </c>
      <c r="B281" s="1" t="s">
        <v>30</v>
      </c>
      <c r="C281" s="1" t="s">
        <v>31</v>
      </c>
      <c r="D281">
        <v>5</v>
      </c>
      <c r="E281" s="1" t="s">
        <v>17</v>
      </c>
      <c r="F281" s="1" t="s">
        <v>1492</v>
      </c>
      <c r="G281">
        <v>40</v>
      </c>
      <c r="H281" s="1" t="s">
        <v>17</v>
      </c>
      <c r="I281">
        <v>1522.8850298446728</v>
      </c>
      <c r="J281" s="1" t="s">
        <v>1493</v>
      </c>
      <c r="K281">
        <v>0</v>
      </c>
      <c r="L281">
        <v>805.77315693937271</v>
      </c>
      <c r="M281">
        <v>3601.748</v>
      </c>
      <c r="N281">
        <v>677.11187290529995</v>
      </c>
    </row>
    <row r="282" spans="1:14" hidden="1" x14ac:dyDescent="0.3">
      <c r="A282" s="1" t="s">
        <v>1507</v>
      </c>
      <c r="B282" s="1" t="s">
        <v>32</v>
      </c>
      <c r="C282" s="1" t="s">
        <v>33</v>
      </c>
      <c r="D282">
        <v>1</v>
      </c>
      <c r="E282" s="1" t="s">
        <v>17</v>
      </c>
      <c r="F282" s="1" t="s">
        <v>1508</v>
      </c>
      <c r="G282">
        <v>40</v>
      </c>
      <c r="H282" s="1" t="s">
        <v>17</v>
      </c>
      <c r="I282">
        <v>1808.504776624859</v>
      </c>
      <c r="J282" s="1" t="s">
        <v>1509</v>
      </c>
      <c r="K282">
        <v>0</v>
      </c>
      <c r="L282">
        <v>811.31346567989658</v>
      </c>
      <c r="M282">
        <v>3601.7579999999998</v>
      </c>
      <c r="N282">
        <v>957.19131094496231</v>
      </c>
    </row>
    <row r="283" spans="1:14" hidden="1" x14ac:dyDescent="0.3">
      <c r="A283" s="1" t="s">
        <v>1521</v>
      </c>
      <c r="B283" s="1" t="s">
        <v>32</v>
      </c>
      <c r="C283" s="1" t="s">
        <v>33</v>
      </c>
      <c r="D283">
        <v>2</v>
      </c>
      <c r="E283" s="1" t="s">
        <v>17</v>
      </c>
      <c r="F283" s="1" t="s">
        <v>1522</v>
      </c>
      <c r="G283">
        <v>40</v>
      </c>
      <c r="H283" s="1" t="s">
        <v>17</v>
      </c>
      <c r="I283">
        <v>1870.8345061643877</v>
      </c>
      <c r="J283" s="1" t="s">
        <v>1523</v>
      </c>
      <c r="K283">
        <v>0</v>
      </c>
      <c r="L283">
        <v>817.37588063465228</v>
      </c>
      <c r="M283">
        <v>3601.056</v>
      </c>
      <c r="N283">
        <v>1013.4586255297353</v>
      </c>
    </row>
    <row r="284" spans="1:14" hidden="1" x14ac:dyDescent="0.3">
      <c r="A284" s="1" t="s">
        <v>1537</v>
      </c>
      <c r="B284" s="1" t="s">
        <v>32</v>
      </c>
      <c r="C284" s="1" t="s">
        <v>33</v>
      </c>
      <c r="D284">
        <v>3</v>
      </c>
      <c r="E284" s="1" t="s">
        <v>17</v>
      </c>
      <c r="F284" s="1" t="s">
        <v>1538</v>
      </c>
      <c r="G284">
        <v>40</v>
      </c>
      <c r="H284" s="1" t="s">
        <v>17</v>
      </c>
      <c r="I284">
        <v>1785.0699662950683</v>
      </c>
      <c r="J284" s="1" t="s">
        <v>1539</v>
      </c>
      <c r="K284">
        <v>0</v>
      </c>
      <c r="L284">
        <v>772.4983528303859</v>
      </c>
      <c r="M284">
        <v>3601.57</v>
      </c>
      <c r="N284">
        <v>972.57161346468229</v>
      </c>
    </row>
    <row r="285" spans="1:14" hidden="1" x14ac:dyDescent="0.3">
      <c r="A285" s="1" t="s">
        <v>1551</v>
      </c>
      <c r="B285" s="1" t="s">
        <v>32</v>
      </c>
      <c r="C285" s="1" t="s">
        <v>33</v>
      </c>
      <c r="D285">
        <v>4</v>
      </c>
      <c r="E285" s="1" t="s">
        <v>17</v>
      </c>
      <c r="F285" s="1" t="s">
        <v>1552</v>
      </c>
      <c r="G285">
        <v>20</v>
      </c>
      <c r="H285" s="1" t="s">
        <v>17</v>
      </c>
      <c r="I285">
        <v>1778.3801416381457</v>
      </c>
      <c r="J285" s="1" t="s">
        <v>1553</v>
      </c>
      <c r="K285">
        <v>0</v>
      </c>
      <c r="L285">
        <v>791.12986507229448</v>
      </c>
      <c r="M285">
        <v>3601.64</v>
      </c>
      <c r="N285">
        <v>967.25027656585132</v>
      </c>
    </row>
    <row r="286" spans="1:14" hidden="1" x14ac:dyDescent="0.3">
      <c r="A286" s="1" t="s">
        <v>1564</v>
      </c>
      <c r="B286" s="1" t="s">
        <v>32</v>
      </c>
      <c r="C286" s="1" t="s">
        <v>33</v>
      </c>
      <c r="D286">
        <v>5</v>
      </c>
      <c r="E286" s="1" t="s">
        <v>17</v>
      </c>
      <c r="F286" s="1" t="s">
        <v>1565</v>
      </c>
      <c r="G286">
        <v>40</v>
      </c>
      <c r="H286" s="1" t="s">
        <v>17</v>
      </c>
      <c r="I286">
        <v>1778.2686432416299</v>
      </c>
      <c r="J286" s="1" t="s">
        <v>1553</v>
      </c>
      <c r="K286">
        <v>0</v>
      </c>
      <c r="L286">
        <v>776.21154441926842</v>
      </c>
      <c r="M286">
        <v>3601.259</v>
      </c>
      <c r="N286">
        <v>962.05709882236158</v>
      </c>
    </row>
    <row r="287" spans="1:14" hidden="1" x14ac:dyDescent="0.3">
      <c r="A287" s="1" t="s">
        <v>853</v>
      </c>
      <c r="B287" s="1" t="s">
        <v>13</v>
      </c>
      <c r="C287" s="1" t="s">
        <v>14</v>
      </c>
      <c r="D287">
        <v>1</v>
      </c>
      <c r="E287" s="1" t="s">
        <v>102</v>
      </c>
      <c r="F287" s="1" t="s">
        <v>854</v>
      </c>
      <c r="G287">
        <v>0</v>
      </c>
      <c r="H287" s="1" t="s">
        <v>102</v>
      </c>
      <c r="I287">
        <v>16.943320957822436</v>
      </c>
      <c r="J287" s="1" t="s">
        <v>855</v>
      </c>
      <c r="K287">
        <v>0</v>
      </c>
      <c r="L287">
        <v>13.65585150405872</v>
      </c>
      <c r="M287">
        <v>3600.337</v>
      </c>
      <c r="N287">
        <v>3.2874694537637179</v>
      </c>
    </row>
    <row r="288" spans="1:14" hidden="1" x14ac:dyDescent="0.3">
      <c r="A288" s="1" t="s">
        <v>866</v>
      </c>
      <c r="B288" s="1" t="s">
        <v>13</v>
      </c>
      <c r="C288" s="1" t="s">
        <v>14</v>
      </c>
      <c r="D288">
        <v>2</v>
      </c>
      <c r="E288" s="1" t="s">
        <v>102</v>
      </c>
      <c r="F288" s="1" t="s">
        <v>854</v>
      </c>
      <c r="G288">
        <v>0</v>
      </c>
      <c r="H288" s="1" t="s">
        <v>102</v>
      </c>
      <c r="I288">
        <v>18.971950064393521</v>
      </c>
      <c r="J288" s="1" t="s">
        <v>855</v>
      </c>
      <c r="K288">
        <v>0</v>
      </c>
      <c r="L288">
        <v>15.191026988511776</v>
      </c>
      <c r="M288">
        <v>3600.3429999999998</v>
      </c>
      <c r="N288">
        <v>3.7809230758817449</v>
      </c>
    </row>
    <row r="289" spans="1:14" hidden="1" x14ac:dyDescent="0.3">
      <c r="A289" s="1" t="s">
        <v>876</v>
      </c>
      <c r="B289" s="1" t="s">
        <v>13</v>
      </c>
      <c r="C289" s="1" t="s">
        <v>14</v>
      </c>
      <c r="D289">
        <v>3</v>
      </c>
      <c r="E289" s="1" t="s">
        <v>102</v>
      </c>
      <c r="F289" s="1" t="s">
        <v>854</v>
      </c>
      <c r="G289">
        <v>0</v>
      </c>
      <c r="H289" s="1" t="s">
        <v>102</v>
      </c>
      <c r="I289">
        <v>1.3297937619041584</v>
      </c>
      <c r="J289" s="1" t="s">
        <v>855</v>
      </c>
      <c r="K289">
        <v>0</v>
      </c>
      <c r="L289">
        <v>0</v>
      </c>
      <c r="M289">
        <v>3600.36</v>
      </c>
      <c r="N289">
        <v>1.3297937619041584</v>
      </c>
    </row>
    <row r="290" spans="1:14" hidden="1" x14ac:dyDescent="0.3">
      <c r="A290" s="1" t="s">
        <v>885</v>
      </c>
      <c r="B290" s="1" t="s">
        <v>13</v>
      </c>
      <c r="C290" s="1" t="s">
        <v>14</v>
      </c>
      <c r="D290">
        <v>4</v>
      </c>
      <c r="E290" s="1" t="s">
        <v>102</v>
      </c>
      <c r="F290" s="1" t="s">
        <v>854</v>
      </c>
      <c r="G290">
        <v>0</v>
      </c>
      <c r="H290" s="1" t="s">
        <v>102</v>
      </c>
      <c r="I290">
        <v>2.3378343292147221</v>
      </c>
      <c r="J290" s="1" t="s">
        <v>855</v>
      </c>
      <c r="K290">
        <v>0</v>
      </c>
      <c r="L290">
        <v>0</v>
      </c>
      <c r="M290">
        <v>3600.3389999999999</v>
      </c>
      <c r="N290">
        <v>2.3378343292147221</v>
      </c>
    </row>
    <row r="291" spans="1:14" hidden="1" x14ac:dyDescent="0.3">
      <c r="A291" s="1" t="s">
        <v>894</v>
      </c>
      <c r="B291" s="1" t="s">
        <v>13</v>
      </c>
      <c r="C291" s="1" t="s">
        <v>14</v>
      </c>
      <c r="D291">
        <v>5</v>
      </c>
      <c r="E291" s="1" t="s">
        <v>102</v>
      </c>
      <c r="F291" s="1" t="s">
        <v>854</v>
      </c>
      <c r="G291">
        <v>0</v>
      </c>
      <c r="H291" s="1" t="s">
        <v>102</v>
      </c>
      <c r="I291">
        <v>2.606612492695735</v>
      </c>
      <c r="J291" s="1" t="s">
        <v>855</v>
      </c>
      <c r="K291">
        <v>0</v>
      </c>
      <c r="L291">
        <v>0</v>
      </c>
      <c r="M291">
        <v>3600.335</v>
      </c>
      <c r="N291">
        <v>2.606612492695735</v>
      </c>
    </row>
    <row r="292" spans="1:14" hidden="1" x14ac:dyDescent="0.3">
      <c r="A292" s="1" t="s">
        <v>914</v>
      </c>
      <c r="B292" s="1" t="s">
        <v>18</v>
      </c>
      <c r="C292" s="1" t="s">
        <v>19</v>
      </c>
      <c r="D292">
        <v>2</v>
      </c>
      <c r="E292" s="1" t="s">
        <v>102</v>
      </c>
      <c r="F292" s="1" t="s">
        <v>854</v>
      </c>
      <c r="G292">
        <v>0</v>
      </c>
      <c r="H292" s="1" t="s">
        <v>102</v>
      </c>
      <c r="I292">
        <v>43.227547214157255</v>
      </c>
      <c r="J292" s="1" t="s">
        <v>855</v>
      </c>
      <c r="K292">
        <v>0</v>
      </c>
      <c r="L292">
        <v>26.350507023312502</v>
      </c>
      <c r="M292">
        <v>3600.8380000000002</v>
      </c>
      <c r="N292">
        <v>16.877040190844756</v>
      </c>
    </row>
    <row r="293" spans="1:14" hidden="1" x14ac:dyDescent="0.3">
      <c r="A293" s="1" t="s">
        <v>923</v>
      </c>
      <c r="B293" s="1" t="s">
        <v>18</v>
      </c>
      <c r="C293" s="1" t="s">
        <v>19</v>
      </c>
      <c r="D293">
        <v>3</v>
      </c>
      <c r="E293" s="1" t="s">
        <v>102</v>
      </c>
      <c r="F293" s="1" t="s">
        <v>854</v>
      </c>
      <c r="G293">
        <v>0</v>
      </c>
      <c r="H293" s="1" t="s">
        <v>102</v>
      </c>
      <c r="I293">
        <v>13.47447024115246</v>
      </c>
      <c r="J293" s="1" t="s">
        <v>855</v>
      </c>
      <c r="K293">
        <v>0</v>
      </c>
      <c r="L293">
        <v>0</v>
      </c>
      <c r="M293">
        <v>3600.8310000000001</v>
      </c>
      <c r="N293">
        <v>13.47447024115246</v>
      </c>
    </row>
    <row r="294" spans="1:14" hidden="1" x14ac:dyDescent="0.3">
      <c r="A294" s="1" t="s">
        <v>933</v>
      </c>
      <c r="B294" s="1" t="s">
        <v>18</v>
      </c>
      <c r="C294" s="1" t="s">
        <v>19</v>
      </c>
      <c r="D294">
        <v>4</v>
      </c>
      <c r="E294" s="1" t="s">
        <v>102</v>
      </c>
      <c r="F294" s="1" t="s">
        <v>854</v>
      </c>
      <c r="G294">
        <v>0</v>
      </c>
      <c r="H294" s="1" t="s">
        <v>102</v>
      </c>
      <c r="I294">
        <v>12.036655691070941</v>
      </c>
      <c r="J294" s="1" t="s">
        <v>855</v>
      </c>
      <c r="K294">
        <v>0</v>
      </c>
      <c r="L294">
        <v>0</v>
      </c>
      <c r="M294">
        <v>3600.4490000000001</v>
      </c>
      <c r="N294">
        <v>12.036655691070941</v>
      </c>
    </row>
    <row r="295" spans="1:14" hidden="1" x14ac:dyDescent="0.3">
      <c r="A295" s="1" t="s">
        <v>944</v>
      </c>
      <c r="B295" s="1" t="s">
        <v>18</v>
      </c>
      <c r="C295" s="1" t="s">
        <v>19</v>
      </c>
      <c r="D295">
        <v>5</v>
      </c>
      <c r="E295" s="1" t="s">
        <v>102</v>
      </c>
      <c r="F295" s="1" t="s">
        <v>854</v>
      </c>
      <c r="G295">
        <v>0</v>
      </c>
      <c r="H295" s="1" t="s">
        <v>102</v>
      </c>
      <c r="I295">
        <v>25.203123530815883</v>
      </c>
      <c r="J295" s="1" t="s">
        <v>855</v>
      </c>
      <c r="K295">
        <v>0</v>
      </c>
      <c r="L295">
        <v>12.047395139822598</v>
      </c>
      <c r="M295">
        <v>3600.9340000000002</v>
      </c>
      <c r="N295">
        <v>13.155728390993286</v>
      </c>
    </row>
    <row r="296" spans="1:14" hidden="1" x14ac:dyDescent="0.3">
      <c r="A296" s="1" t="s">
        <v>996</v>
      </c>
      <c r="B296" s="1" t="s">
        <v>20</v>
      </c>
      <c r="C296" s="1" t="s">
        <v>19</v>
      </c>
      <c r="D296">
        <v>3</v>
      </c>
      <c r="E296" s="1" t="s">
        <v>102</v>
      </c>
      <c r="F296" s="1" t="s">
        <v>854</v>
      </c>
      <c r="G296">
        <v>0</v>
      </c>
      <c r="H296" s="1" t="s">
        <v>102</v>
      </c>
      <c r="I296">
        <v>82.123369103067034</v>
      </c>
      <c r="J296" s="1" t="s">
        <v>855</v>
      </c>
      <c r="K296">
        <v>0</v>
      </c>
      <c r="L296">
        <v>19.92851570238291</v>
      </c>
      <c r="M296">
        <v>3600.7719999999999</v>
      </c>
      <c r="N296">
        <v>62.194853400684131</v>
      </c>
    </row>
    <row r="297" spans="1:14" hidden="1" x14ac:dyDescent="0.3">
      <c r="A297" s="1" t="s">
        <v>1085</v>
      </c>
      <c r="B297" s="1" t="s">
        <v>21</v>
      </c>
      <c r="C297" s="1" t="s">
        <v>22</v>
      </c>
      <c r="D297">
        <v>4</v>
      </c>
      <c r="E297" s="1" t="s">
        <v>102</v>
      </c>
      <c r="F297" s="1" t="s">
        <v>854</v>
      </c>
      <c r="G297">
        <v>0</v>
      </c>
      <c r="H297" s="1" t="s">
        <v>102</v>
      </c>
      <c r="I297">
        <v>77.338550379690275</v>
      </c>
      <c r="J297" s="1" t="s">
        <v>855</v>
      </c>
      <c r="K297">
        <v>0</v>
      </c>
      <c r="L297">
        <v>46.4909265366623</v>
      </c>
      <c r="M297">
        <v>3600.9780000000001</v>
      </c>
      <c r="N297">
        <v>30.847623843027982</v>
      </c>
    </row>
    <row r="298" spans="1:14" hidden="1" x14ac:dyDescent="0.3">
      <c r="A298" s="1" t="s">
        <v>1101</v>
      </c>
      <c r="B298" s="1" t="s">
        <v>21</v>
      </c>
      <c r="C298" s="1" t="s">
        <v>22</v>
      </c>
      <c r="D298">
        <v>5</v>
      </c>
      <c r="E298" s="1" t="s">
        <v>102</v>
      </c>
      <c r="F298" s="1" t="s">
        <v>854</v>
      </c>
      <c r="G298">
        <v>0</v>
      </c>
      <c r="H298" s="1" t="s">
        <v>102</v>
      </c>
      <c r="I298">
        <v>52.234047093255441</v>
      </c>
      <c r="J298" s="1" t="s">
        <v>855</v>
      </c>
      <c r="K298">
        <v>0</v>
      </c>
      <c r="L298">
        <v>22.067551654184825</v>
      </c>
      <c r="M298">
        <v>3600.8440000000001</v>
      </c>
      <c r="N298">
        <v>30.166495439070619</v>
      </c>
    </row>
    <row r="299" spans="1:14" hidden="1" x14ac:dyDescent="0.3">
      <c r="A299" s="1" t="s">
        <v>1139</v>
      </c>
      <c r="B299" s="1" t="s">
        <v>23</v>
      </c>
      <c r="C299" s="1" t="s">
        <v>24</v>
      </c>
      <c r="D299">
        <v>2</v>
      </c>
      <c r="E299" s="1" t="s">
        <v>102</v>
      </c>
      <c r="F299" s="1" t="s">
        <v>854</v>
      </c>
      <c r="G299">
        <v>0</v>
      </c>
      <c r="H299" s="1" t="s">
        <v>102</v>
      </c>
      <c r="I299">
        <v>69.285746222289958</v>
      </c>
      <c r="J299" s="1" t="s">
        <v>855</v>
      </c>
      <c r="K299">
        <v>0</v>
      </c>
      <c r="L299">
        <v>25.302197532802765</v>
      </c>
      <c r="M299">
        <v>3601.2020000000002</v>
      </c>
      <c r="N299">
        <v>43.983548689487201</v>
      </c>
    </row>
    <row r="300" spans="1:14" hidden="1" x14ac:dyDescent="0.3">
      <c r="A300" s="1" t="s">
        <v>1188</v>
      </c>
      <c r="B300" s="1" t="s">
        <v>23</v>
      </c>
      <c r="C300" s="1" t="s">
        <v>24</v>
      </c>
      <c r="D300">
        <v>5</v>
      </c>
      <c r="E300" s="1" t="s">
        <v>102</v>
      </c>
      <c r="F300" s="1" t="s">
        <v>1189</v>
      </c>
      <c r="G300">
        <v>0</v>
      </c>
      <c r="H300" s="1" t="s">
        <v>102</v>
      </c>
      <c r="I300">
        <v>58.002370167462779</v>
      </c>
      <c r="J300" s="1" t="s">
        <v>1190</v>
      </c>
      <c r="K300">
        <v>0</v>
      </c>
      <c r="L300">
        <v>17.936145369461833</v>
      </c>
      <c r="M300">
        <v>3600.6660000000002</v>
      </c>
      <c r="N300">
        <v>40.066224798000945</v>
      </c>
    </row>
    <row r="301" spans="1:14" hidden="1" x14ac:dyDescent="0.3">
      <c r="A301" s="1" t="s">
        <v>1203</v>
      </c>
      <c r="B301" s="1" t="s">
        <v>25</v>
      </c>
      <c r="C301" s="1" t="s">
        <v>24</v>
      </c>
      <c r="D301">
        <v>1</v>
      </c>
      <c r="E301" s="1" t="s">
        <v>102</v>
      </c>
      <c r="F301" s="1" t="s">
        <v>1189</v>
      </c>
      <c r="G301">
        <v>0</v>
      </c>
      <c r="H301" s="1" t="s">
        <v>102</v>
      </c>
      <c r="I301">
        <v>395.74065314470579</v>
      </c>
      <c r="J301" s="1" t="s">
        <v>1190</v>
      </c>
      <c r="K301">
        <v>0</v>
      </c>
      <c r="L301">
        <v>142.91121133391314</v>
      </c>
      <c r="M301">
        <v>3601.2890000000002</v>
      </c>
      <c r="N301">
        <v>252.82944181079264</v>
      </c>
    </row>
    <row r="302" spans="1:14" hidden="1" x14ac:dyDescent="0.3">
      <c r="A302" s="1" t="s">
        <v>1216</v>
      </c>
      <c r="B302" s="1" t="s">
        <v>25</v>
      </c>
      <c r="C302" s="1" t="s">
        <v>24</v>
      </c>
      <c r="D302">
        <v>2</v>
      </c>
      <c r="E302" s="1" t="s">
        <v>102</v>
      </c>
      <c r="F302" s="1" t="s">
        <v>1189</v>
      </c>
      <c r="G302">
        <v>20</v>
      </c>
      <c r="H302" s="1" t="s">
        <v>102</v>
      </c>
      <c r="I302">
        <v>557.12054540663758</v>
      </c>
      <c r="J302" s="1" t="s">
        <v>1190</v>
      </c>
      <c r="K302">
        <v>0</v>
      </c>
      <c r="L302">
        <v>263.00950253989646</v>
      </c>
      <c r="M302">
        <v>3602.0709999999999</v>
      </c>
      <c r="N302">
        <v>274.11104286674117</v>
      </c>
    </row>
    <row r="303" spans="1:14" hidden="1" x14ac:dyDescent="0.3">
      <c r="A303" s="1" t="s">
        <v>1249</v>
      </c>
      <c r="B303" s="1" t="s">
        <v>25</v>
      </c>
      <c r="C303" s="1" t="s">
        <v>24</v>
      </c>
      <c r="D303">
        <v>4</v>
      </c>
      <c r="E303" s="1" t="s">
        <v>102</v>
      </c>
      <c r="F303" s="1" t="s">
        <v>1250</v>
      </c>
      <c r="G303">
        <v>20</v>
      </c>
      <c r="H303" s="1" t="s">
        <v>102</v>
      </c>
      <c r="I303">
        <v>460.07879426404423</v>
      </c>
      <c r="J303" s="1" t="s">
        <v>1190</v>
      </c>
      <c r="K303">
        <v>0</v>
      </c>
      <c r="L303">
        <v>174.77182685369013</v>
      </c>
      <c r="M303">
        <v>3601.5</v>
      </c>
      <c r="N303">
        <v>265.3069674103541</v>
      </c>
    </row>
    <row r="304" spans="1:14" hidden="1" x14ac:dyDescent="0.3">
      <c r="A304" s="1" t="s">
        <v>1286</v>
      </c>
      <c r="B304" s="1" t="s">
        <v>26</v>
      </c>
      <c r="C304" s="1" t="s">
        <v>27</v>
      </c>
      <c r="D304">
        <v>1</v>
      </c>
      <c r="E304" s="1" t="s">
        <v>102</v>
      </c>
      <c r="F304" s="1" t="s">
        <v>1287</v>
      </c>
      <c r="G304">
        <v>0</v>
      </c>
      <c r="H304" s="1" t="s">
        <v>102</v>
      </c>
      <c r="I304">
        <v>94.011639795949066</v>
      </c>
      <c r="J304" s="1" t="s">
        <v>1190</v>
      </c>
      <c r="K304">
        <v>0</v>
      </c>
      <c r="L304">
        <v>31.399126985604042</v>
      </c>
      <c r="M304">
        <v>3600.5940000000001</v>
      </c>
      <c r="N304">
        <v>62.612512810345017</v>
      </c>
    </row>
    <row r="305" spans="1:14" hidden="1" x14ac:dyDescent="0.3">
      <c r="A305" s="1" t="s">
        <v>1307</v>
      </c>
      <c r="B305" s="1" t="s">
        <v>26</v>
      </c>
      <c r="C305" s="1" t="s">
        <v>27</v>
      </c>
      <c r="D305">
        <v>2</v>
      </c>
      <c r="E305" s="1" t="s">
        <v>102</v>
      </c>
      <c r="F305" s="1" t="s">
        <v>1308</v>
      </c>
      <c r="G305">
        <v>0</v>
      </c>
      <c r="H305" s="1" t="s">
        <v>102</v>
      </c>
      <c r="I305">
        <v>94.262193248819628</v>
      </c>
      <c r="J305" s="1" t="s">
        <v>1190</v>
      </c>
      <c r="K305">
        <v>0</v>
      </c>
      <c r="L305">
        <v>33.103035532650303</v>
      </c>
      <c r="M305">
        <v>3601.058</v>
      </c>
      <c r="N305">
        <v>61.159157716169325</v>
      </c>
    </row>
    <row r="306" spans="1:14" hidden="1" x14ac:dyDescent="0.3">
      <c r="A306" s="1" t="s">
        <v>1346</v>
      </c>
      <c r="B306" s="1" t="s">
        <v>26</v>
      </c>
      <c r="C306" s="1" t="s">
        <v>27</v>
      </c>
      <c r="D306">
        <v>4</v>
      </c>
      <c r="E306" s="1" t="s">
        <v>102</v>
      </c>
      <c r="F306" s="1" t="s">
        <v>1347</v>
      </c>
      <c r="G306">
        <v>0</v>
      </c>
      <c r="H306" s="1" t="s">
        <v>102</v>
      </c>
      <c r="I306">
        <v>79.59087196468667</v>
      </c>
      <c r="J306" s="1" t="s">
        <v>1348</v>
      </c>
      <c r="K306">
        <v>0</v>
      </c>
      <c r="L306">
        <v>10.907911271393852</v>
      </c>
      <c r="M306">
        <v>3600.4769999999999</v>
      </c>
      <c r="N306">
        <v>68.682960693292813</v>
      </c>
    </row>
    <row r="307" spans="1:14" hidden="1" x14ac:dyDescent="0.3">
      <c r="A307" s="1" t="s">
        <v>1381</v>
      </c>
      <c r="B307" s="1" t="s">
        <v>28</v>
      </c>
      <c r="C307" s="1" t="s">
        <v>29</v>
      </c>
      <c r="D307">
        <v>1</v>
      </c>
      <c r="E307" s="1" t="s">
        <v>102</v>
      </c>
      <c r="F307" s="1" t="s">
        <v>1382</v>
      </c>
      <c r="G307">
        <v>20</v>
      </c>
      <c r="H307" s="1" t="s">
        <v>102</v>
      </c>
      <c r="I307">
        <v>795.96640228855358</v>
      </c>
      <c r="J307" s="1" t="s">
        <v>1348</v>
      </c>
      <c r="K307">
        <v>0</v>
      </c>
      <c r="L307">
        <v>322.75030062471268</v>
      </c>
      <c r="M307">
        <v>3601.703</v>
      </c>
      <c r="N307">
        <v>453.21610166384096</v>
      </c>
    </row>
    <row r="308" spans="1:14" hidden="1" x14ac:dyDescent="0.3">
      <c r="A308" s="1" t="s">
        <v>1397</v>
      </c>
      <c r="B308" s="1" t="s">
        <v>28</v>
      </c>
      <c r="C308" s="1" t="s">
        <v>29</v>
      </c>
      <c r="D308">
        <v>2</v>
      </c>
      <c r="E308" s="1" t="s">
        <v>102</v>
      </c>
      <c r="F308" s="1" t="s">
        <v>1398</v>
      </c>
      <c r="G308">
        <v>20</v>
      </c>
      <c r="H308" s="1" t="s">
        <v>102</v>
      </c>
      <c r="I308">
        <v>871.66180255462996</v>
      </c>
      <c r="J308" s="1" t="s">
        <v>1348</v>
      </c>
      <c r="K308">
        <v>0</v>
      </c>
      <c r="L308">
        <v>403.95921414245186</v>
      </c>
      <c r="M308">
        <v>3602.2150000000001</v>
      </c>
      <c r="N308">
        <v>447.70258841217816</v>
      </c>
    </row>
    <row r="309" spans="1:14" hidden="1" x14ac:dyDescent="0.3">
      <c r="A309" s="1" t="s">
        <v>1410</v>
      </c>
      <c r="B309" s="1" t="s">
        <v>28</v>
      </c>
      <c r="C309" s="1" t="s">
        <v>29</v>
      </c>
      <c r="D309">
        <v>3</v>
      </c>
      <c r="E309" s="1" t="s">
        <v>102</v>
      </c>
      <c r="F309" s="1" t="s">
        <v>1411</v>
      </c>
      <c r="G309">
        <v>20</v>
      </c>
      <c r="H309" s="1" t="s">
        <v>102</v>
      </c>
      <c r="I309">
        <v>843.31736514743784</v>
      </c>
      <c r="J309" s="1" t="s">
        <v>1348</v>
      </c>
      <c r="K309">
        <v>0</v>
      </c>
      <c r="L309">
        <v>385.99691952890811</v>
      </c>
      <c r="M309">
        <v>3602.009</v>
      </c>
      <c r="N309">
        <v>437.32044561852973</v>
      </c>
    </row>
    <row r="310" spans="1:14" hidden="1" x14ac:dyDescent="0.3">
      <c r="A310" s="1" t="s">
        <v>1432</v>
      </c>
      <c r="B310" s="1" t="s">
        <v>28</v>
      </c>
      <c r="C310" s="1" t="s">
        <v>29</v>
      </c>
      <c r="D310">
        <v>5</v>
      </c>
      <c r="E310" s="1" t="s">
        <v>102</v>
      </c>
      <c r="F310" s="1" t="s">
        <v>1433</v>
      </c>
      <c r="G310">
        <v>20</v>
      </c>
      <c r="H310" s="1" t="s">
        <v>102</v>
      </c>
      <c r="I310">
        <v>826.30629055703753</v>
      </c>
      <c r="J310" s="1" t="s">
        <v>1348</v>
      </c>
      <c r="K310">
        <v>0</v>
      </c>
      <c r="L310">
        <v>369.32032900804768</v>
      </c>
      <c r="M310">
        <v>3601.893</v>
      </c>
      <c r="N310">
        <v>436.98596154898979</v>
      </c>
    </row>
    <row r="311" spans="1:14" hidden="1" x14ac:dyDescent="0.3">
      <c r="A311" s="1" t="s">
        <v>1466</v>
      </c>
      <c r="B311" s="1" t="s">
        <v>30</v>
      </c>
      <c r="C311" s="1" t="s">
        <v>31</v>
      </c>
      <c r="D311">
        <v>3</v>
      </c>
      <c r="E311" s="1" t="s">
        <v>102</v>
      </c>
      <c r="F311" s="1" t="s">
        <v>1467</v>
      </c>
      <c r="G311">
        <v>40</v>
      </c>
      <c r="H311" s="1" t="s">
        <v>102</v>
      </c>
      <c r="I311">
        <v>1103.8130311153229</v>
      </c>
      <c r="J311" s="1" t="s">
        <v>1348</v>
      </c>
      <c r="K311">
        <v>0</v>
      </c>
      <c r="L311">
        <v>379.70986036975955</v>
      </c>
      <c r="M311">
        <v>3602.4029999999998</v>
      </c>
      <c r="N311">
        <v>684.10317074556338</v>
      </c>
    </row>
    <row r="312" spans="1:14" hidden="1" x14ac:dyDescent="0.3">
      <c r="A312" s="1" t="s">
        <v>1494</v>
      </c>
      <c r="B312" s="1" t="s">
        <v>30</v>
      </c>
      <c r="C312" s="1" t="s">
        <v>31</v>
      </c>
      <c r="D312">
        <v>5</v>
      </c>
      <c r="E312" s="1" t="s">
        <v>102</v>
      </c>
      <c r="F312" s="1" t="s">
        <v>1495</v>
      </c>
      <c r="G312">
        <v>40</v>
      </c>
      <c r="H312" s="1" t="s">
        <v>102</v>
      </c>
      <c r="I312">
        <v>1522.8850298446728</v>
      </c>
      <c r="J312" s="1" t="s">
        <v>1348</v>
      </c>
      <c r="K312">
        <v>0</v>
      </c>
      <c r="L312">
        <v>805.77315693937271</v>
      </c>
      <c r="M312">
        <v>3602.3339999999998</v>
      </c>
      <c r="N312">
        <v>677.11187290529995</v>
      </c>
    </row>
    <row r="313" spans="1:14" hidden="1" x14ac:dyDescent="0.3">
      <c r="A313" s="1" t="s">
        <v>1510</v>
      </c>
      <c r="B313" s="1" t="s">
        <v>32</v>
      </c>
      <c r="C313" s="1" t="s">
        <v>33</v>
      </c>
      <c r="D313">
        <v>1</v>
      </c>
      <c r="E313" s="1" t="s">
        <v>102</v>
      </c>
      <c r="F313" s="1" t="s">
        <v>1511</v>
      </c>
      <c r="G313">
        <v>40</v>
      </c>
      <c r="H313" s="1" t="s">
        <v>102</v>
      </c>
      <c r="I313">
        <v>1808.504776624859</v>
      </c>
      <c r="J313" s="1" t="s">
        <v>1348</v>
      </c>
      <c r="K313">
        <v>0</v>
      </c>
      <c r="L313">
        <v>811.31346567989658</v>
      </c>
      <c r="M313">
        <v>3602.6610000000001</v>
      </c>
      <c r="N313">
        <v>957.19131094496231</v>
      </c>
    </row>
    <row r="314" spans="1:14" hidden="1" x14ac:dyDescent="0.3">
      <c r="A314" s="1" t="s">
        <v>1524</v>
      </c>
      <c r="B314" s="1" t="s">
        <v>32</v>
      </c>
      <c r="C314" s="1" t="s">
        <v>33</v>
      </c>
      <c r="D314">
        <v>2</v>
      </c>
      <c r="E314" s="1" t="s">
        <v>102</v>
      </c>
      <c r="F314" s="1" t="s">
        <v>1525</v>
      </c>
      <c r="G314">
        <v>500</v>
      </c>
      <c r="H314" s="1" t="s">
        <v>102</v>
      </c>
      <c r="I314">
        <v>1806.8736767050932</v>
      </c>
      <c r="J314" s="1" t="s">
        <v>1526</v>
      </c>
      <c r="K314">
        <v>0</v>
      </c>
      <c r="L314">
        <v>292.74411381259119</v>
      </c>
      <c r="M314">
        <v>3654.16</v>
      </c>
      <c r="N314">
        <v>1014.1295628925021</v>
      </c>
    </row>
    <row r="315" spans="1:14" hidden="1" x14ac:dyDescent="0.3">
      <c r="A315" s="1" t="s">
        <v>1540</v>
      </c>
      <c r="B315" s="1" t="s">
        <v>32</v>
      </c>
      <c r="C315" s="1" t="s">
        <v>33</v>
      </c>
      <c r="D315">
        <v>3</v>
      </c>
      <c r="E315" s="1" t="s">
        <v>102</v>
      </c>
      <c r="F315" s="1" t="s">
        <v>1541</v>
      </c>
      <c r="G315">
        <v>40</v>
      </c>
      <c r="H315" s="1" t="s">
        <v>102</v>
      </c>
      <c r="I315">
        <v>1668.1511893892016</v>
      </c>
      <c r="J315" s="1" t="s">
        <v>1526</v>
      </c>
      <c r="K315">
        <v>0</v>
      </c>
      <c r="L315">
        <v>654.6136068484268</v>
      </c>
      <c r="M315">
        <v>3602.0509999999999</v>
      </c>
      <c r="N315">
        <v>973.53758254077468</v>
      </c>
    </row>
    <row r="316" spans="1:14" hidden="1" x14ac:dyDescent="0.3">
      <c r="A316" s="1" t="s">
        <v>835</v>
      </c>
      <c r="B316" s="1" t="s">
        <v>13</v>
      </c>
      <c r="C316" s="1" t="s">
        <v>14</v>
      </c>
      <c r="D316">
        <v>1</v>
      </c>
      <c r="E316" s="1" t="s">
        <v>15</v>
      </c>
      <c r="F316" s="1" t="s">
        <v>836</v>
      </c>
      <c r="G316">
        <v>0</v>
      </c>
      <c r="H316" s="1" t="s">
        <v>15</v>
      </c>
      <c r="I316">
        <v>19.113158371209611</v>
      </c>
      <c r="J316" s="1" t="s">
        <v>837</v>
      </c>
      <c r="K316">
        <v>0</v>
      </c>
      <c r="L316">
        <v>13.65585150405872</v>
      </c>
      <c r="M316">
        <v>2.371</v>
      </c>
      <c r="N316">
        <v>5.4573068671508906</v>
      </c>
    </row>
    <row r="317" spans="1:14" hidden="1" x14ac:dyDescent="0.3">
      <c r="A317" s="1" t="s">
        <v>860</v>
      </c>
      <c r="B317" s="1" t="s">
        <v>13</v>
      </c>
      <c r="C317" s="1" t="s">
        <v>14</v>
      </c>
      <c r="D317">
        <v>2</v>
      </c>
      <c r="E317" s="1" t="s">
        <v>15</v>
      </c>
      <c r="F317" s="1" t="s">
        <v>836</v>
      </c>
      <c r="G317">
        <v>0</v>
      </c>
      <c r="H317" s="1" t="s">
        <v>15</v>
      </c>
      <c r="I317">
        <v>22.152430125032964</v>
      </c>
      <c r="J317" s="1" t="s">
        <v>837</v>
      </c>
      <c r="K317">
        <v>0</v>
      </c>
      <c r="L317">
        <v>15.191026988511776</v>
      </c>
      <c r="M317">
        <v>5.5919999999999996</v>
      </c>
      <c r="N317">
        <v>6.9614031365211897</v>
      </c>
    </row>
    <row r="318" spans="1:14" hidden="1" x14ac:dyDescent="0.3">
      <c r="A318" s="1" t="s">
        <v>869</v>
      </c>
      <c r="B318" s="1" t="s">
        <v>13</v>
      </c>
      <c r="C318" s="1" t="s">
        <v>14</v>
      </c>
      <c r="D318">
        <v>3</v>
      </c>
      <c r="E318" s="1" t="s">
        <v>15</v>
      </c>
      <c r="F318" s="1" t="s">
        <v>836</v>
      </c>
      <c r="G318">
        <v>0</v>
      </c>
      <c r="H318" s="1" t="s">
        <v>15</v>
      </c>
      <c r="I318">
        <v>2.3320333963418576</v>
      </c>
      <c r="J318" s="1" t="s">
        <v>837</v>
      </c>
      <c r="K318">
        <v>0</v>
      </c>
      <c r="L318">
        <v>0</v>
      </c>
      <c r="M318">
        <v>0.94899999999999995</v>
      </c>
      <c r="N318">
        <v>2.3320333963418576</v>
      </c>
    </row>
    <row r="319" spans="1:14" hidden="1" x14ac:dyDescent="0.3">
      <c r="A319" s="1" t="s">
        <v>879</v>
      </c>
      <c r="B319" s="1" t="s">
        <v>13</v>
      </c>
      <c r="C319" s="1" t="s">
        <v>14</v>
      </c>
      <c r="D319">
        <v>4</v>
      </c>
      <c r="E319" s="1" t="s">
        <v>15</v>
      </c>
      <c r="F319" s="1" t="s">
        <v>836</v>
      </c>
      <c r="G319">
        <v>0</v>
      </c>
      <c r="H319" s="1" t="s">
        <v>15</v>
      </c>
      <c r="I319">
        <v>3.968250290840007</v>
      </c>
      <c r="J319" s="1" t="s">
        <v>837</v>
      </c>
      <c r="K319">
        <v>0</v>
      </c>
      <c r="L319">
        <v>0</v>
      </c>
      <c r="M319">
        <v>2.9590000000000001</v>
      </c>
      <c r="N319">
        <v>3.968250290840007</v>
      </c>
    </row>
    <row r="320" spans="1:14" hidden="1" x14ac:dyDescent="0.3">
      <c r="A320" s="1" t="s">
        <v>888</v>
      </c>
      <c r="B320" s="1" t="s">
        <v>13</v>
      </c>
      <c r="C320" s="1" t="s">
        <v>14</v>
      </c>
      <c r="D320">
        <v>5</v>
      </c>
      <c r="E320" s="1" t="s">
        <v>15</v>
      </c>
      <c r="F320" s="1" t="s">
        <v>836</v>
      </c>
      <c r="G320">
        <v>0</v>
      </c>
      <c r="H320" s="1" t="s">
        <v>15</v>
      </c>
      <c r="I320">
        <v>3.7929994136695395</v>
      </c>
      <c r="J320" s="1" t="s">
        <v>837</v>
      </c>
      <c r="K320">
        <v>0</v>
      </c>
      <c r="L320">
        <v>0</v>
      </c>
      <c r="M320">
        <v>2.363</v>
      </c>
      <c r="N320">
        <v>3.7929994136695395</v>
      </c>
    </row>
    <row r="321" spans="1:14" hidden="1" x14ac:dyDescent="0.3">
      <c r="A321" s="1" t="s">
        <v>899</v>
      </c>
      <c r="B321" s="1" t="s">
        <v>18</v>
      </c>
      <c r="C321" s="1" t="s">
        <v>19</v>
      </c>
      <c r="D321">
        <v>1</v>
      </c>
      <c r="E321" s="1" t="s">
        <v>15</v>
      </c>
      <c r="F321" s="1" t="s">
        <v>836</v>
      </c>
      <c r="G321">
        <v>0</v>
      </c>
      <c r="H321" s="1" t="s">
        <v>15</v>
      </c>
      <c r="I321">
        <v>39.75575014615066</v>
      </c>
      <c r="J321" s="1" t="s">
        <v>837</v>
      </c>
      <c r="K321">
        <v>9.2982352704836868E-4</v>
      </c>
      <c r="L321">
        <v>15.017573519538377</v>
      </c>
      <c r="M321">
        <v>3602.5889999999999</v>
      </c>
      <c r="N321">
        <v>24.738176626612283</v>
      </c>
    </row>
    <row r="322" spans="1:14" hidden="1" x14ac:dyDescent="0.3">
      <c r="A322" s="1" t="s">
        <v>908</v>
      </c>
      <c r="B322" s="1" t="s">
        <v>18</v>
      </c>
      <c r="C322" s="1" t="s">
        <v>19</v>
      </c>
      <c r="D322">
        <v>2</v>
      </c>
      <c r="E322" s="1" t="s">
        <v>15</v>
      </c>
      <c r="F322" s="1" t="s">
        <v>836</v>
      </c>
      <c r="G322">
        <v>0</v>
      </c>
      <c r="H322" s="1" t="s">
        <v>15</v>
      </c>
      <c r="I322">
        <v>41.555424227173049</v>
      </c>
      <c r="J322" s="1" t="s">
        <v>837</v>
      </c>
      <c r="K322">
        <v>8.2186408665249551E-5</v>
      </c>
      <c r="L322">
        <v>15.435811686593444</v>
      </c>
      <c r="M322">
        <v>231.89699999999999</v>
      </c>
      <c r="N322">
        <v>26.119612540579602</v>
      </c>
    </row>
    <row r="323" spans="1:14" hidden="1" x14ac:dyDescent="0.3">
      <c r="A323" s="1" t="s">
        <v>917</v>
      </c>
      <c r="B323" s="1" t="s">
        <v>18</v>
      </c>
      <c r="C323" s="1" t="s">
        <v>19</v>
      </c>
      <c r="D323">
        <v>3</v>
      </c>
      <c r="E323" s="1" t="s">
        <v>15</v>
      </c>
      <c r="F323" s="1" t="s">
        <v>836</v>
      </c>
      <c r="G323">
        <v>0</v>
      </c>
      <c r="H323" s="1" t="s">
        <v>15</v>
      </c>
      <c r="I323">
        <v>19.740402093227388</v>
      </c>
      <c r="J323" s="1" t="s">
        <v>837</v>
      </c>
      <c r="K323">
        <v>0</v>
      </c>
      <c r="L323">
        <v>0</v>
      </c>
      <c r="M323">
        <v>989.154</v>
      </c>
      <c r="N323">
        <v>19.740402093227388</v>
      </c>
    </row>
    <row r="324" spans="1:14" hidden="1" x14ac:dyDescent="0.3">
      <c r="A324" s="1" t="s">
        <v>927</v>
      </c>
      <c r="B324" s="1" t="s">
        <v>18</v>
      </c>
      <c r="C324" s="1" t="s">
        <v>19</v>
      </c>
      <c r="D324">
        <v>4</v>
      </c>
      <c r="E324" s="1" t="s">
        <v>15</v>
      </c>
      <c r="F324" s="1" t="s">
        <v>836</v>
      </c>
      <c r="G324">
        <v>0</v>
      </c>
      <c r="H324" s="1" t="s">
        <v>15</v>
      </c>
      <c r="I324">
        <v>22.758820843048195</v>
      </c>
      <c r="J324" s="1" t="s">
        <v>837</v>
      </c>
      <c r="K324">
        <v>4.9312486298519831E-3</v>
      </c>
      <c r="L324">
        <v>2.6049284085366962</v>
      </c>
      <c r="M324">
        <v>3602.346</v>
      </c>
      <c r="N324">
        <v>20.153892434511498</v>
      </c>
    </row>
    <row r="325" spans="1:14" hidden="1" x14ac:dyDescent="0.3">
      <c r="A325" s="1" t="s">
        <v>938</v>
      </c>
      <c r="B325" s="1" t="s">
        <v>18</v>
      </c>
      <c r="C325" s="1" t="s">
        <v>19</v>
      </c>
      <c r="D325">
        <v>5</v>
      </c>
      <c r="E325" s="1" t="s">
        <v>15</v>
      </c>
      <c r="F325" s="1" t="s">
        <v>836</v>
      </c>
      <c r="G325">
        <v>0</v>
      </c>
      <c r="H325" s="1" t="s">
        <v>15</v>
      </c>
      <c r="I325">
        <v>34.061136441961978</v>
      </c>
      <c r="J325" s="1" t="s">
        <v>837</v>
      </c>
      <c r="K325">
        <v>4.2492967141097605E-3</v>
      </c>
      <c r="L325">
        <v>12.047395139822598</v>
      </c>
      <c r="M325">
        <v>3602.2869999999998</v>
      </c>
      <c r="N325">
        <v>22.01374130213938</v>
      </c>
    </row>
    <row r="326" spans="1:14" hidden="1" x14ac:dyDescent="0.3">
      <c r="A326" s="1" t="s">
        <v>1032</v>
      </c>
      <c r="B326" s="1" t="s">
        <v>21</v>
      </c>
      <c r="C326" s="1" t="s">
        <v>22</v>
      </c>
      <c r="D326">
        <v>1</v>
      </c>
      <c r="E326" s="1" t="s">
        <v>15</v>
      </c>
      <c r="F326" s="1" t="s">
        <v>1033</v>
      </c>
      <c r="G326">
        <v>20</v>
      </c>
      <c r="H326" s="1" t="s">
        <v>15</v>
      </c>
      <c r="I326">
        <v>1014.7879161034551</v>
      </c>
      <c r="J326" s="1" t="s">
        <v>1034</v>
      </c>
      <c r="K326">
        <v>0.9389149759851948</v>
      </c>
      <c r="L326">
        <v>928.48200960192048</v>
      </c>
      <c r="M326">
        <v>3603.9670000000001</v>
      </c>
      <c r="N326">
        <v>66.305906501534665</v>
      </c>
    </row>
    <row r="327" spans="1:14" hidden="1" x14ac:dyDescent="0.3">
      <c r="A327" s="1" t="s">
        <v>1043</v>
      </c>
      <c r="B327" s="1" t="s">
        <v>21</v>
      </c>
      <c r="C327" s="1" t="s">
        <v>22</v>
      </c>
      <c r="D327">
        <v>2</v>
      </c>
      <c r="E327" s="1" t="s">
        <v>15</v>
      </c>
      <c r="F327" s="1" t="s">
        <v>1044</v>
      </c>
      <c r="G327">
        <v>0</v>
      </c>
      <c r="H327" s="1" t="s">
        <v>15</v>
      </c>
      <c r="I327">
        <v>95.440574519140924</v>
      </c>
      <c r="J327" s="1" t="s">
        <v>1045</v>
      </c>
      <c r="K327">
        <v>0.3895097337473144</v>
      </c>
      <c r="L327">
        <v>52.463225409844</v>
      </c>
      <c r="M327">
        <v>3604.4659999999999</v>
      </c>
      <c r="N327">
        <v>42.977349109296924</v>
      </c>
    </row>
    <row r="328" spans="1:14" hidden="1" x14ac:dyDescent="0.3">
      <c r="A328" s="1" t="s">
        <v>1058</v>
      </c>
      <c r="B328" s="1" t="s">
        <v>21</v>
      </c>
      <c r="C328" s="1" t="s">
        <v>22</v>
      </c>
      <c r="D328">
        <v>3</v>
      </c>
      <c r="E328" s="1" t="s">
        <v>15</v>
      </c>
      <c r="F328" s="1" t="s">
        <v>1059</v>
      </c>
      <c r="G328">
        <v>0</v>
      </c>
      <c r="H328" s="1" t="s">
        <v>15</v>
      </c>
      <c r="I328">
        <v>600.59706196367097</v>
      </c>
      <c r="J328" s="1" t="s">
        <v>1045</v>
      </c>
      <c r="K328">
        <v>0.90848977795193386</v>
      </c>
      <c r="L328">
        <v>538.83700134937135</v>
      </c>
      <c r="M328">
        <v>3604.3960000000002</v>
      </c>
      <c r="N328">
        <v>61.760060614299675</v>
      </c>
    </row>
    <row r="329" spans="1:14" hidden="1" x14ac:dyDescent="0.3">
      <c r="A329" s="1" t="s">
        <v>1073</v>
      </c>
      <c r="B329" s="1" t="s">
        <v>21</v>
      </c>
      <c r="C329" s="1" t="s">
        <v>22</v>
      </c>
      <c r="D329">
        <v>4</v>
      </c>
      <c r="E329" s="1" t="s">
        <v>15</v>
      </c>
      <c r="F329" s="1" t="s">
        <v>1074</v>
      </c>
      <c r="G329">
        <v>0</v>
      </c>
      <c r="H329" s="1" t="s">
        <v>15</v>
      </c>
      <c r="I329">
        <v>79.090030546070395</v>
      </c>
      <c r="J329" s="1" t="s">
        <v>1075</v>
      </c>
      <c r="K329">
        <v>0.30597889132136707</v>
      </c>
      <c r="L329">
        <v>35.919588730635482</v>
      </c>
      <c r="M329">
        <v>3604.24</v>
      </c>
      <c r="N329">
        <v>43.170441815434913</v>
      </c>
    </row>
    <row r="330" spans="1:14" hidden="1" x14ac:dyDescent="0.3">
      <c r="A330" s="1" t="s">
        <v>1089</v>
      </c>
      <c r="B330" s="1" t="s">
        <v>21</v>
      </c>
      <c r="C330" s="1" t="s">
        <v>22</v>
      </c>
      <c r="D330">
        <v>5</v>
      </c>
      <c r="E330" s="1" t="s">
        <v>15</v>
      </c>
      <c r="F330" s="1" t="s">
        <v>1090</v>
      </c>
      <c r="G330">
        <v>0</v>
      </c>
      <c r="H330" s="1" t="s">
        <v>15</v>
      </c>
      <c r="I330">
        <v>62.581996299609436</v>
      </c>
      <c r="J330" s="1" t="s">
        <v>1091</v>
      </c>
      <c r="K330">
        <v>1.7105361952066238E-3</v>
      </c>
      <c r="L330">
        <v>9.5620044166382758</v>
      </c>
      <c r="M330">
        <v>3603.3629999999998</v>
      </c>
      <c r="N330">
        <v>53.019991882971162</v>
      </c>
    </row>
    <row r="331" spans="1:14" x14ac:dyDescent="0.3">
      <c r="A331" s="1" t="s">
        <v>950</v>
      </c>
      <c r="B331" s="1" t="s">
        <v>20</v>
      </c>
      <c r="C331" s="1" t="s">
        <v>19</v>
      </c>
      <c r="D331">
        <v>1</v>
      </c>
      <c r="E331" s="1" t="s">
        <v>15</v>
      </c>
      <c r="F331" s="1" t="s">
        <v>951</v>
      </c>
      <c r="G331">
        <v>40</v>
      </c>
      <c r="H331" s="1" t="s">
        <v>15</v>
      </c>
      <c r="I331">
        <v>3871.6275880056887</v>
      </c>
      <c r="J331" s="1" t="s">
        <v>952</v>
      </c>
      <c r="K331">
        <v>0.98971554215165969</v>
      </c>
      <c r="L331">
        <v>3677.0962419227162</v>
      </c>
      <c r="M331">
        <v>3605.3710000000001</v>
      </c>
      <c r="N331">
        <v>154.5313460829725</v>
      </c>
    </row>
    <row r="332" spans="1:14" x14ac:dyDescent="0.3">
      <c r="A332" s="1" t="s">
        <v>984</v>
      </c>
      <c r="B332" s="1" t="s">
        <v>20</v>
      </c>
      <c r="C332" s="1" t="s">
        <v>19</v>
      </c>
      <c r="D332">
        <v>3</v>
      </c>
      <c r="E332" s="1" t="s">
        <v>15</v>
      </c>
      <c r="F332" s="1" t="s">
        <v>985</v>
      </c>
      <c r="G332">
        <v>0</v>
      </c>
      <c r="H332" s="1" t="s">
        <v>15</v>
      </c>
      <c r="I332">
        <v>119.32010848375801</v>
      </c>
      <c r="J332" s="1" t="s">
        <v>986</v>
      </c>
      <c r="K332">
        <v>0.12388114625314924</v>
      </c>
      <c r="L332">
        <v>15.04688419933338</v>
      </c>
      <c r="M332">
        <v>3607.91</v>
      </c>
      <c r="N332">
        <v>104.27322428442463</v>
      </c>
    </row>
    <row r="333" spans="1:14" x14ac:dyDescent="0.3">
      <c r="A333" s="1" t="s">
        <v>1000</v>
      </c>
      <c r="B333" s="1" t="s">
        <v>20</v>
      </c>
      <c r="C333" s="1" t="s">
        <v>19</v>
      </c>
      <c r="D333">
        <v>4</v>
      </c>
      <c r="E333" s="1" t="s">
        <v>15</v>
      </c>
      <c r="F333" s="1" t="s">
        <v>1001</v>
      </c>
      <c r="G333">
        <v>0</v>
      </c>
      <c r="H333" s="1" t="s">
        <v>15</v>
      </c>
      <c r="I333">
        <v>123.47105454834295</v>
      </c>
      <c r="J333" s="1" t="s">
        <v>986</v>
      </c>
      <c r="K333">
        <v>7.6427265279512158E-2</v>
      </c>
      <c r="L333">
        <v>18.216060585617786</v>
      </c>
      <c r="M333">
        <v>3606.4810000000002</v>
      </c>
      <c r="N333">
        <v>105.25499396272517</v>
      </c>
    </row>
    <row r="334" spans="1:14" x14ac:dyDescent="0.3">
      <c r="A334" s="1" t="s">
        <v>1015</v>
      </c>
      <c r="B334" s="1" t="s">
        <v>20</v>
      </c>
      <c r="C334" s="1" t="s">
        <v>19</v>
      </c>
      <c r="D334">
        <v>5</v>
      </c>
      <c r="E334" s="1" t="s">
        <v>15</v>
      </c>
      <c r="F334" s="1" t="s">
        <v>1016</v>
      </c>
      <c r="G334">
        <v>80</v>
      </c>
      <c r="H334" s="1" t="s">
        <v>15</v>
      </c>
      <c r="I334">
        <v>3862.8415668764387</v>
      </c>
      <c r="J334" s="1" t="s">
        <v>1017</v>
      </c>
      <c r="K334">
        <v>0.98817092856988731</v>
      </c>
      <c r="L334">
        <v>3606.0808732848154</v>
      </c>
      <c r="M334">
        <v>3606.9690000000001</v>
      </c>
      <c r="N334">
        <v>176.7606935916231</v>
      </c>
    </row>
    <row r="335" spans="1:14" hidden="1" x14ac:dyDescent="0.3">
      <c r="A335" s="1" t="s">
        <v>1106</v>
      </c>
      <c r="B335" s="1" t="s">
        <v>23</v>
      </c>
      <c r="C335" s="1" t="s">
        <v>24</v>
      </c>
      <c r="D335">
        <v>1</v>
      </c>
      <c r="E335" s="1" t="s">
        <v>15</v>
      </c>
      <c r="F335" s="1" t="s">
        <v>1107</v>
      </c>
      <c r="G335">
        <v>40</v>
      </c>
      <c r="H335" s="1" t="s">
        <v>15</v>
      </c>
      <c r="I335">
        <v>1779.0503180665351</v>
      </c>
      <c r="J335" s="1" t="s">
        <v>1108</v>
      </c>
      <c r="K335">
        <v>0.99645958548608748</v>
      </c>
      <c r="L335">
        <v>1634.565826865452</v>
      </c>
      <c r="M335">
        <v>3610.1039999999998</v>
      </c>
      <c r="N335">
        <v>104.48449120108297</v>
      </c>
    </row>
    <row r="336" spans="1:14" hidden="1" x14ac:dyDescent="0.3">
      <c r="A336" s="1" t="s">
        <v>1126</v>
      </c>
      <c r="B336" s="1" t="s">
        <v>23</v>
      </c>
      <c r="C336" s="1" t="s">
        <v>24</v>
      </c>
      <c r="D336">
        <v>2</v>
      </c>
      <c r="E336" s="1" t="s">
        <v>15</v>
      </c>
      <c r="F336" s="1" t="s">
        <v>1127</v>
      </c>
      <c r="G336">
        <v>40</v>
      </c>
      <c r="H336" s="1" t="s">
        <v>15</v>
      </c>
      <c r="I336">
        <v>1485.9867313469467</v>
      </c>
      <c r="J336" s="1" t="s">
        <v>1128</v>
      </c>
      <c r="K336">
        <v>0.99564039637029755</v>
      </c>
      <c r="L336">
        <v>1339.1586059643037</v>
      </c>
      <c r="M336">
        <v>3611.018</v>
      </c>
      <c r="N336">
        <v>106.82812538264318</v>
      </c>
    </row>
    <row r="337" spans="1:14" hidden="1" x14ac:dyDescent="0.3">
      <c r="A337" s="1" t="s">
        <v>1144</v>
      </c>
      <c r="B337" s="1" t="s">
        <v>23</v>
      </c>
      <c r="C337" s="1" t="s">
        <v>24</v>
      </c>
      <c r="D337">
        <v>3</v>
      </c>
      <c r="E337" s="1" t="s">
        <v>15</v>
      </c>
      <c r="F337" s="1" t="s">
        <v>1145</v>
      </c>
      <c r="G337">
        <v>60</v>
      </c>
      <c r="H337" s="1" t="s">
        <v>15</v>
      </c>
      <c r="I337">
        <v>1361.0478745513392</v>
      </c>
      <c r="J337" s="1" t="s">
        <v>1128</v>
      </c>
      <c r="K337">
        <v>0.99625957088498274</v>
      </c>
      <c r="L337">
        <v>1202.5589931638447</v>
      </c>
      <c r="M337">
        <v>3609.8649999999998</v>
      </c>
      <c r="N337">
        <v>98.488881387494629</v>
      </c>
    </row>
    <row r="338" spans="1:14" hidden="1" x14ac:dyDescent="0.3">
      <c r="A338" s="1" t="s">
        <v>1157</v>
      </c>
      <c r="B338" s="1" t="s">
        <v>23</v>
      </c>
      <c r="C338" s="1" t="s">
        <v>24</v>
      </c>
      <c r="D338">
        <v>4</v>
      </c>
      <c r="E338" s="1" t="s">
        <v>15</v>
      </c>
      <c r="F338" s="1" t="s">
        <v>1158</v>
      </c>
      <c r="G338">
        <v>60</v>
      </c>
      <c r="H338" s="1" t="s">
        <v>15</v>
      </c>
      <c r="I338">
        <v>1390.0675692228908</v>
      </c>
      <c r="J338" s="1" t="s">
        <v>1128</v>
      </c>
      <c r="K338">
        <v>0.99647376277875233</v>
      </c>
      <c r="L338">
        <v>1222.7067611754871</v>
      </c>
      <c r="M338">
        <v>3609.3989999999999</v>
      </c>
      <c r="N338">
        <v>107.36080804740371</v>
      </c>
    </row>
    <row r="339" spans="1:14" hidden="1" x14ac:dyDescent="0.3">
      <c r="A339" s="1" t="s">
        <v>1173</v>
      </c>
      <c r="B339" s="1" t="s">
        <v>23</v>
      </c>
      <c r="C339" s="1" t="s">
        <v>24</v>
      </c>
      <c r="D339">
        <v>5</v>
      </c>
      <c r="E339" s="1" t="s">
        <v>15</v>
      </c>
      <c r="F339" s="1" t="s">
        <v>1174</v>
      </c>
      <c r="G339">
        <v>20</v>
      </c>
      <c r="H339" s="1" t="s">
        <v>15</v>
      </c>
      <c r="I339">
        <v>1279.3915889633035</v>
      </c>
      <c r="J339" s="1" t="s">
        <v>1175</v>
      </c>
      <c r="K339">
        <v>0.99585741574248532</v>
      </c>
      <c r="L339">
        <v>1144.8039217868645</v>
      </c>
      <c r="M339">
        <v>3609.1010000000001</v>
      </c>
      <c r="N339">
        <v>114.58766717643908</v>
      </c>
    </row>
    <row r="340" spans="1:14" hidden="1" x14ac:dyDescent="0.3">
      <c r="A340" s="1" t="s">
        <v>1271</v>
      </c>
      <c r="B340" s="1" t="s">
        <v>26</v>
      </c>
      <c r="C340" s="1" t="s">
        <v>27</v>
      </c>
      <c r="D340">
        <v>1</v>
      </c>
      <c r="E340" s="1" t="s">
        <v>15</v>
      </c>
      <c r="F340" s="1" t="s">
        <v>1272</v>
      </c>
      <c r="G340">
        <v>40</v>
      </c>
      <c r="H340" s="1" t="s">
        <v>15</v>
      </c>
      <c r="I340">
        <v>1557.924887939429</v>
      </c>
      <c r="J340" s="1" t="s">
        <v>1273</v>
      </c>
      <c r="K340">
        <v>0.99597098123196848</v>
      </c>
      <c r="L340">
        <v>1370.8169113875263</v>
      </c>
      <c r="M340">
        <v>3646.7049999999999</v>
      </c>
      <c r="N340">
        <v>147.10797655190274</v>
      </c>
    </row>
    <row r="341" spans="1:14" hidden="1" x14ac:dyDescent="0.3">
      <c r="A341" s="1" t="s">
        <v>1293</v>
      </c>
      <c r="B341" s="1" t="s">
        <v>26</v>
      </c>
      <c r="C341" s="1" t="s">
        <v>27</v>
      </c>
      <c r="D341">
        <v>2</v>
      </c>
      <c r="E341" s="1" t="s">
        <v>15</v>
      </c>
      <c r="F341" s="1" t="s">
        <v>1294</v>
      </c>
      <c r="G341">
        <v>60</v>
      </c>
      <c r="H341" s="1" t="s">
        <v>15</v>
      </c>
      <c r="I341">
        <v>2042.2429125479177</v>
      </c>
      <c r="J341" s="1" t="s">
        <v>1295</v>
      </c>
      <c r="K341">
        <v>0.9957398768016934</v>
      </c>
      <c r="L341">
        <v>1818.996034851752</v>
      </c>
      <c r="M341">
        <v>3631.9079999999999</v>
      </c>
      <c r="N341">
        <v>163.24687769616571</v>
      </c>
    </row>
    <row r="342" spans="1:14" hidden="1" x14ac:dyDescent="0.3">
      <c r="A342" s="1" t="s">
        <v>1331</v>
      </c>
      <c r="B342" s="1" t="s">
        <v>26</v>
      </c>
      <c r="C342" s="1" t="s">
        <v>27</v>
      </c>
      <c r="D342">
        <v>4</v>
      </c>
      <c r="E342" s="1" t="s">
        <v>15</v>
      </c>
      <c r="F342" s="1" t="s">
        <v>1332</v>
      </c>
      <c r="G342">
        <v>20</v>
      </c>
      <c r="H342" s="1" t="s">
        <v>15</v>
      </c>
      <c r="I342">
        <v>1739.4908310619167</v>
      </c>
      <c r="J342" s="1" t="s">
        <v>1333</v>
      </c>
      <c r="K342">
        <v>0.99618450899777244</v>
      </c>
      <c r="L342">
        <v>1570.0039627964061</v>
      </c>
      <c r="M342">
        <v>3726.3240000000001</v>
      </c>
      <c r="N342">
        <v>149.48686826551051</v>
      </c>
    </row>
    <row r="343" spans="1:14" hidden="1" x14ac:dyDescent="0.3">
      <c r="A343" s="1" t="s">
        <v>1354</v>
      </c>
      <c r="B343" s="1" t="s">
        <v>26</v>
      </c>
      <c r="C343" s="1" t="s">
        <v>27</v>
      </c>
      <c r="D343">
        <v>5</v>
      </c>
      <c r="E343" s="1" t="s">
        <v>15</v>
      </c>
      <c r="F343" s="1" t="s">
        <v>1355</v>
      </c>
      <c r="G343">
        <v>40</v>
      </c>
      <c r="H343" s="1" t="s">
        <v>15</v>
      </c>
      <c r="I343">
        <v>2277.3518530847882</v>
      </c>
      <c r="J343" s="1" t="s">
        <v>1333</v>
      </c>
      <c r="K343">
        <v>0.99611577488207981</v>
      </c>
      <c r="L343">
        <v>2049.2946867152591</v>
      </c>
      <c r="M343">
        <v>3725.6329999999998</v>
      </c>
      <c r="N343">
        <v>188.05716636952914</v>
      </c>
    </row>
    <row r="344" spans="1:14" hidden="1" x14ac:dyDescent="0.3">
      <c r="A344" s="1" t="s">
        <v>96</v>
      </c>
      <c r="B344" s="1" t="s">
        <v>13</v>
      </c>
      <c r="C344" s="1" t="s">
        <v>14</v>
      </c>
      <c r="D344">
        <v>1</v>
      </c>
      <c r="E344" s="1" t="s">
        <v>16</v>
      </c>
      <c r="F344" s="1" t="s">
        <v>97</v>
      </c>
      <c r="G344">
        <v>0</v>
      </c>
      <c r="H344" s="1" t="s">
        <v>16</v>
      </c>
      <c r="I344">
        <v>19.120358371209612</v>
      </c>
      <c r="J344" s="1" t="s">
        <v>98</v>
      </c>
      <c r="K344">
        <v>0</v>
      </c>
      <c r="L344">
        <v>13.65585150405872</v>
      </c>
      <c r="M344">
        <v>784.38</v>
      </c>
      <c r="N344">
        <v>5.4645068671508898</v>
      </c>
    </row>
    <row r="345" spans="1:14" hidden="1" x14ac:dyDescent="0.3">
      <c r="A345" s="1" t="s">
        <v>107</v>
      </c>
      <c r="B345" s="1" t="s">
        <v>13</v>
      </c>
      <c r="C345" s="1" t="s">
        <v>14</v>
      </c>
      <c r="D345">
        <v>2</v>
      </c>
      <c r="E345" s="1" t="s">
        <v>16</v>
      </c>
      <c r="F345" s="1" t="s">
        <v>97</v>
      </c>
      <c r="G345">
        <v>0</v>
      </c>
      <c r="H345" s="1" t="s">
        <v>16</v>
      </c>
      <c r="I345">
        <v>22.152430125032968</v>
      </c>
      <c r="J345" s="1" t="s">
        <v>98</v>
      </c>
      <c r="K345">
        <v>0</v>
      </c>
      <c r="L345">
        <v>15.191026988511776</v>
      </c>
      <c r="M345">
        <v>1784.1759999999999</v>
      </c>
      <c r="N345">
        <v>6.9614031365211906</v>
      </c>
    </row>
    <row r="346" spans="1:14" hidden="1" x14ac:dyDescent="0.3">
      <c r="A346" s="1" t="s">
        <v>111</v>
      </c>
      <c r="B346" s="1" t="s">
        <v>13</v>
      </c>
      <c r="C346" s="1" t="s">
        <v>14</v>
      </c>
      <c r="D346">
        <v>3</v>
      </c>
      <c r="E346" s="1" t="s">
        <v>16</v>
      </c>
      <c r="F346" s="1" t="s">
        <v>97</v>
      </c>
      <c r="G346">
        <v>0</v>
      </c>
      <c r="H346" s="1" t="s">
        <v>16</v>
      </c>
      <c r="I346">
        <v>2.3320333963418576</v>
      </c>
      <c r="J346" s="1" t="s">
        <v>98</v>
      </c>
      <c r="K346">
        <v>0</v>
      </c>
      <c r="L346">
        <v>0</v>
      </c>
      <c r="M346">
        <v>135.89400000000001</v>
      </c>
      <c r="N346">
        <v>2.3320333963418576</v>
      </c>
    </row>
    <row r="347" spans="1:14" hidden="1" x14ac:dyDescent="0.3">
      <c r="A347" s="1" t="s">
        <v>115</v>
      </c>
      <c r="B347" s="1" t="s">
        <v>13</v>
      </c>
      <c r="C347" s="1" t="s">
        <v>14</v>
      </c>
      <c r="D347">
        <v>4</v>
      </c>
      <c r="E347" s="1" t="s">
        <v>16</v>
      </c>
      <c r="F347" s="1" t="s">
        <v>97</v>
      </c>
      <c r="G347">
        <v>0</v>
      </c>
      <c r="H347" s="1" t="s">
        <v>16</v>
      </c>
      <c r="I347">
        <v>3.9682502908400066</v>
      </c>
      <c r="J347" s="1" t="s">
        <v>98</v>
      </c>
      <c r="K347">
        <v>0</v>
      </c>
      <c r="L347">
        <v>0</v>
      </c>
      <c r="M347">
        <v>750.221</v>
      </c>
      <c r="N347">
        <v>3.9682502908400066</v>
      </c>
    </row>
    <row r="348" spans="1:14" hidden="1" x14ac:dyDescent="0.3">
      <c r="A348" s="1" t="s">
        <v>856</v>
      </c>
      <c r="B348" s="1" t="s">
        <v>13</v>
      </c>
      <c r="C348" s="1" t="s">
        <v>14</v>
      </c>
      <c r="D348">
        <v>1</v>
      </c>
      <c r="E348" s="1" t="s">
        <v>102</v>
      </c>
      <c r="F348" s="1" t="s">
        <v>857</v>
      </c>
      <c r="G348">
        <v>0</v>
      </c>
      <c r="H348" s="1" t="s">
        <v>102</v>
      </c>
      <c r="I348">
        <v>19.258658371209609</v>
      </c>
      <c r="J348" s="1" t="s">
        <v>858</v>
      </c>
      <c r="K348">
        <v>0</v>
      </c>
      <c r="L348">
        <v>13.65585150405872</v>
      </c>
      <c r="M348">
        <v>3600.0439999999999</v>
      </c>
      <c r="N348">
        <v>5.6028068671508899</v>
      </c>
    </row>
    <row r="349" spans="1:14" hidden="1" x14ac:dyDescent="0.3">
      <c r="A349" s="1" t="s">
        <v>867</v>
      </c>
      <c r="B349" s="1" t="s">
        <v>13</v>
      </c>
      <c r="C349" s="1" t="s">
        <v>14</v>
      </c>
      <c r="D349">
        <v>2</v>
      </c>
      <c r="E349" s="1" t="s">
        <v>102</v>
      </c>
      <c r="F349" s="1" t="s">
        <v>857</v>
      </c>
      <c r="G349">
        <v>0</v>
      </c>
      <c r="H349" s="1" t="s">
        <v>102</v>
      </c>
      <c r="I349">
        <v>22.280530125032968</v>
      </c>
      <c r="J349" s="1" t="s">
        <v>858</v>
      </c>
      <c r="K349">
        <v>0</v>
      </c>
      <c r="L349">
        <v>15.191026988511776</v>
      </c>
      <c r="M349">
        <v>3600.0610000000001</v>
      </c>
      <c r="N349">
        <v>7.0895031365211914</v>
      </c>
    </row>
    <row r="350" spans="1:14" hidden="1" x14ac:dyDescent="0.3">
      <c r="A350" s="1" t="s">
        <v>877</v>
      </c>
      <c r="B350" s="1" t="s">
        <v>13</v>
      </c>
      <c r="C350" s="1" t="s">
        <v>14</v>
      </c>
      <c r="D350">
        <v>3</v>
      </c>
      <c r="E350" s="1" t="s">
        <v>102</v>
      </c>
      <c r="F350" s="1" t="s">
        <v>857</v>
      </c>
      <c r="G350">
        <v>0</v>
      </c>
      <c r="H350" s="1" t="s">
        <v>102</v>
      </c>
      <c r="I350">
        <v>2.3320333963418576</v>
      </c>
      <c r="J350" s="1" t="s">
        <v>858</v>
      </c>
      <c r="K350">
        <v>0</v>
      </c>
      <c r="L350">
        <v>0</v>
      </c>
      <c r="M350">
        <v>3600.0509999999999</v>
      </c>
      <c r="N350">
        <v>2.3320333963418576</v>
      </c>
    </row>
    <row r="351" spans="1:14" hidden="1" x14ac:dyDescent="0.3">
      <c r="A351" s="1" t="s">
        <v>886</v>
      </c>
      <c r="B351" s="1" t="s">
        <v>13</v>
      </c>
      <c r="C351" s="1" t="s">
        <v>14</v>
      </c>
      <c r="D351">
        <v>4</v>
      </c>
      <c r="E351" s="1" t="s">
        <v>102</v>
      </c>
      <c r="F351" s="1" t="s">
        <v>857</v>
      </c>
      <c r="G351">
        <v>0</v>
      </c>
      <c r="H351" s="1" t="s">
        <v>102</v>
      </c>
      <c r="I351">
        <v>4.0180502908400069</v>
      </c>
      <c r="J351" s="1" t="s">
        <v>858</v>
      </c>
      <c r="K351">
        <v>0</v>
      </c>
      <c r="L351">
        <v>0</v>
      </c>
      <c r="M351">
        <v>3600.0450000000001</v>
      </c>
      <c r="N351">
        <v>4.0180502908400069</v>
      </c>
    </row>
    <row r="352" spans="1:14" hidden="1" x14ac:dyDescent="0.3">
      <c r="A352" s="1" t="s">
        <v>99</v>
      </c>
      <c r="B352" s="1" t="s">
        <v>13</v>
      </c>
      <c r="C352" s="1" t="s">
        <v>14</v>
      </c>
      <c r="D352">
        <v>1</v>
      </c>
      <c r="E352" s="1" t="s">
        <v>17</v>
      </c>
      <c r="F352" s="1" t="s">
        <v>100</v>
      </c>
      <c r="G352">
        <v>0</v>
      </c>
      <c r="H352" s="1" t="s">
        <v>17</v>
      </c>
      <c r="I352">
        <v>19.113158371209611</v>
      </c>
      <c r="J352" s="1" t="s">
        <v>101</v>
      </c>
      <c r="K352">
        <v>0</v>
      </c>
      <c r="L352">
        <v>13.65585150405872</v>
      </c>
      <c r="M352">
        <v>1551.1289999999999</v>
      </c>
      <c r="N352">
        <v>5.4573068671508898</v>
      </c>
    </row>
    <row r="353" spans="1:14" hidden="1" x14ac:dyDescent="0.3">
      <c r="A353" s="1" t="s">
        <v>108</v>
      </c>
      <c r="B353" s="1" t="s">
        <v>13</v>
      </c>
      <c r="C353" s="1" t="s">
        <v>14</v>
      </c>
      <c r="D353">
        <v>2</v>
      </c>
      <c r="E353" s="1" t="s">
        <v>17</v>
      </c>
      <c r="F353" s="1" t="s">
        <v>100</v>
      </c>
      <c r="G353">
        <v>0</v>
      </c>
      <c r="H353" s="1" t="s">
        <v>17</v>
      </c>
      <c r="I353">
        <v>22.152430125032968</v>
      </c>
      <c r="J353" s="1" t="s">
        <v>101</v>
      </c>
      <c r="K353">
        <v>0</v>
      </c>
      <c r="L353">
        <v>15.191026988511776</v>
      </c>
      <c r="M353">
        <v>3600.0659999999998</v>
      </c>
      <c r="N353">
        <v>6.9614031365211906</v>
      </c>
    </row>
    <row r="354" spans="1:14" hidden="1" x14ac:dyDescent="0.3">
      <c r="A354" s="1" t="s">
        <v>112</v>
      </c>
      <c r="B354" s="1" t="s">
        <v>13</v>
      </c>
      <c r="C354" s="1" t="s">
        <v>14</v>
      </c>
      <c r="D354">
        <v>3</v>
      </c>
      <c r="E354" s="1" t="s">
        <v>17</v>
      </c>
      <c r="F354" s="1" t="s">
        <v>100</v>
      </c>
      <c r="G354">
        <v>0</v>
      </c>
      <c r="H354" s="1" t="s">
        <v>17</v>
      </c>
      <c r="I354">
        <v>2.3320333963418576</v>
      </c>
      <c r="J354" s="1" t="s">
        <v>101</v>
      </c>
      <c r="K354">
        <v>0</v>
      </c>
      <c r="L354">
        <v>0</v>
      </c>
      <c r="M354">
        <v>636.81399999999996</v>
      </c>
      <c r="N354">
        <v>2.3320333963418576</v>
      </c>
    </row>
    <row r="355" spans="1:14" hidden="1" x14ac:dyDescent="0.3">
      <c r="A355" s="1" t="s">
        <v>116</v>
      </c>
      <c r="B355" s="1" t="s">
        <v>13</v>
      </c>
      <c r="C355" s="1" t="s">
        <v>14</v>
      </c>
      <c r="D355">
        <v>4</v>
      </c>
      <c r="E355" s="1" t="s">
        <v>17</v>
      </c>
      <c r="F355" s="1" t="s">
        <v>100</v>
      </c>
      <c r="G355">
        <v>0</v>
      </c>
      <c r="H355" s="1" t="s">
        <v>17</v>
      </c>
      <c r="I355">
        <v>3.968250290840007</v>
      </c>
      <c r="J355" s="1" t="s">
        <v>101</v>
      </c>
      <c r="K355">
        <v>0</v>
      </c>
      <c r="L355">
        <v>0</v>
      </c>
      <c r="M355">
        <v>2002.5530000000001</v>
      </c>
      <c r="N355">
        <v>3.968250290840007</v>
      </c>
    </row>
    <row r="356" spans="1:14" hidden="1" x14ac:dyDescent="0.3">
      <c r="A356" s="1" t="s">
        <v>121</v>
      </c>
      <c r="B356" s="1" t="s">
        <v>13</v>
      </c>
      <c r="C356" s="1" t="s">
        <v>14</v>
      </c>
      <c r="D356">
        <v>5</v>
      </c>
      <c r="E356" s="1" t="s">
        <v>16</v>
      </c>
      <c r="F356" s="1" t="s">
        <v>122</v>
      </c>
      <c r="G356">
        <v>0</v>
      </c>
      <c r="H356" s="1" t="s">
        <v>16</v>
      </c>
      <c r="I356">
        <v>3.7953994136695393</v>
      </c>
      <c r="J356" s="1" t="s">
        <v>123</v>
      </c>
      <c r="K356">
        <v>0</v>
      </c>
      <c r="L356">
        <v>0</v>
      </c>
      <c r="M356">
        <v>708.14300000000003</v>
      </c>
      <c r="N356">
        <v>3.7953994136695393</v>
      </c>
    </row>
    <row r="357" spans="1:14" hidden="1" x14ac:dyDescent="0.3">
      <c r="A357" s="1" t="s">
        <v>124</v>
      </c>
      <c r="B357" s="1" t="s">
        <v>13</v>
      </c>
      <c r="C357" s="1" t="s">
        <v>14</v>
      </c>
      <c r="D357">
        <v>5</v>
      </c>
      <c r="E357" s="1" t="s">
        <v>17</v>
      </c>
      <c r="F357" s="1" t="s">
        <v>125</v>
      </c>
      <c r="G357">
        <v>0</v>
      </c>
      <c r="H357" s="1" t="s">
        <v>17</v>
      </c>
      <c r="I357">
        <v>3.79299941366954</v>
      </c>
      <c r="J357" s="1" t="s">
        <v>126</v>
      </c>
      <c r="K357">
        <v>0</v>
      </c>
      <c r="L357">
        <v>0</v>
      </c>
      <c r="M357">
        <v>1898.9760000000001</v>
      </c>
      <c r="N357">
        <v>3.79299941366954</v>
      </c>
    </row>
    <row r="358" spans="1:14" hidden="1" x14ac:dyDescent="0.3">
      <c r="A358" s="1" t="s">
        <v>133</v>
      </c>
      <c r="B358" s="1" t="s">
        <v>18</v>
      </c>
      <c r="C358" s="1" t="s">
        <v>19</v>
      </c>
      <c r="D358">
        <v>1</v>
      </c>
      <c r="E358" s="1" t="s">
        <v>16</v>
      </c>
      <c r="F358" s="1" t="s">
        <v>134</v>
      </c>
      <c r="G358">
        <v>0</v>
      </c>
      <c r="H358" s="1" t="s">
        <v>16</v>
      </c>
      <c r="I358">
        <v>40.118458749796645</v>
      </c>
      <c r="J358" s="1" t="s">
        <v>135</v>
      </c>
      <c r="K358">
        <v>0</v>
      </c>
      <c r="L358">
        <v>15.017573519538377</v>
      </c>
      <c r="M358">
        <v>3600.4140000000002</v>
      </c>
      <c r="N358">
        <v>25.100885230258271</v>
      </c>
    </row>
    <row r="359" spans="1:14" hidden="1" x14ac:dyDescent="0.3">
      <c r="A359" s="1" t="s">
        <v>142</v>
      </c>
      <c r="B359" s="1" t="s">
        <v>18</v>
      </c>
      <c r="C359" s="1" t="s">
        <v>19</v>
      </c>
      <c r="D359">
        <v>2</v>
      </c>
      <c r="E359" s="1" t="s">
        <v>16</v>
      </c>
      <c r="F359" s="1" t="s">
        <v>143</v>
      </c>
      <c r="G359">
        <v>0</v>
      </c>
      <c r="H359" s="1" t="s">
        <v>16</v>
      </c>
      <c r="I359">
        <v>41.898026514197895</v>
      </c>
      <c r="J359" s="1" t="s">
        <v>144</v>
      </c>
      <c r="K359">
        <v>0</v>
      </c>
      <c r="L359">
        <v>15.435811686593444</v>
      </c>
      <c r="M359">
        <v>3600.0569999999998</v>
      </c>
      <c r="N359">
        <v>26.462214827604452</v>
      </c>
    </row>
    <row r="360" spans="1:14" hidden="1" x14ac:dyDescent="0.3">
      <c r="A360" s="1" t="s">
        <v>151</v>
      </c>
      <c r="B360" s="1" t="s">
        <v>18</v>
      </c>
      <c r="C360" s="1" t="s">
        <v>19</v>
      </c>
      <c r="D360">
        <v>3</v>
      </c>
      <c r="E360" s="1" t="s">
        <v>16</v>
      </c>
      <c r="F360" s="1" t="s">
        <v>152</v>
      </c>
      <c r="G360">
        <v>0</v>
      </c>
      <c r="H360" s="1" t="s">
        <v>16</v>
      </c>
      <c r="I360">
        <v>19.868326224054695</v>
      </c>
      <c r="J360" s="1" t="s">
        <v>153</v>
      </c>
      <c r="K360">
        <v>0</v>
      </c>
      <c r="L360">
        <v>0</v>
      </c>
      <c r="M360">
        <v>3600.5169999999998</v>
      </c>
      <c r="N360">
        <v>19.868326224054695</v>
      </c>
    </row>
    <row r="361" spans="1:14" hidden="1" x14ac:dyDescent="0.3">
      <c r="A361" s="1" t="s">
        <v>136</v>
      </c>
      <c r="B361" s="1" t="s">
        <v>18</v>
      </c>
      <c r="C361" s="1" t="s">
        <v>19</v>
      </c>
      <c r="D361">
        <v>1</v>
      </c>
      <c r="E361" s="1" t="s">
        <v>17</v>
      </c>
      <c r="F361" s="1" t="s">
        <v>137</v>
      </c>
      <c r="G361">
        <v>0</v>
      </c>
      <c r="H361" s="1" t="s">
        <v>17</v>
      </c>
      <c r="I361">
        <v>39.833758749796658</v>
      </c>
      <c r="J361" s="1" t="s">
        <v>138</v>
      </c>
      <c r="K361">
        <v>0</v>
      </c>
      <c r="L361">
        <v>15.017573519538377</v>
      </c>
      <c r="M361">
        <v>3600.194</v>
      </c>
      <c r="N361">
        <v>24.816185230258284</v>
      </c>
    </row>
    <row r="362" spans="1:14" hidden="1" x14ac:dyDescent="0.3">
      <c r="A362" s="1" t="s">
        <v>162</v>
      </c>
      <c r="B362" s="1" t="s">
        <v>18</v>
      </c>
      <c r="C362" s="1" t="s">
        <v>19</v>
      </c>
      <c r="D362">
        <v>4</v>
      </c>
      <c r="E362" s="1" t="s">
        <v>16</v>
      </c>
      <c r="F362" s="1" t="s">
        <v>163</v>
      </c>
      <c r="G362">
        <v>0</v>
      </c>
      <c r="H362" s="1" t="s">
        <v>16</v>
      </c>
      <c r="I362">
        <v>23.117820147610626</v>
      </c>
      <c r="J362" s="1" t="s">
        <v>164</v>
      </c>
      <c r="K362">
        <v>0</v>
      </c>
      <c r="L362">
        <v>2.6049284085366962</v>
      </c>
      <c r="M362">
        <v>3600.1170000000002</v>
      </c>
      <c r="N362">
        <v>20.512891739073929</v>
      </c>
    </row>
    <row r="363" spans="1:14" hidden="1" x14ac:dyDescent="0.3">
      <c r="A363" s="1" t="s">
        <v>145</v>
      </c>
      <c r="B363" s="1" t="s">
        <v>18</v>
      </c>
      <c r="C363" s="1" t="s">
        <v>19</v>
      </c>
      <c r="D363">
        <v>2</v>
      </c>
      <c r="E363" s="1" t="s">
        <v>17</v>
      </c>
      <c r="F363" s="1" t="s">
        <v>146</v>
      </c>
      <c r="G363">
        <v>0</v>
      </c>
      <c r="H363" s="1" t="s">
        <v>17</v>
      </c>
      <c r="I363">
        <v>41.767224227173052</v>
      </c>
      <c r="J363" s="1" t="s">
        <v>147</v>
      </c>
      <c r="K363">
        <v>0</v>
      </c>
      <c r="L363">
        <v>15.435811686593444</v>
      </c>
      <c r="M363">
        <v>3600.1080000000002</v>
      </c>
      <c r="N363">
        <v>26.33141254057961</v>
      </c>
    </row>
    <row r="364" spans="1:14" hidden="1" x14ac:dyDescent="0.3">
      <c r="A364" s="1" t="s">
        <v>154</v>
      </c>
      <c r="B364" s="1" t="s">
        <v>18</v>
      </c>
      <c r="C364" s="1" t="s">
        <v>19</v>
      </c>
      <c r="D364">
        <v>3</v>
      </c>
      <c r="E364" s="1" t="s">
        <v>17</v>
      </c>
      <c r="F364" s="1" t="s">
        <v>155</v>
      </c>
      <c r="G364">
        <v>0</v>
      </c>
      <c r="H364" s="1" t="s">
        <v>17</v>
      </c>
      <c r="I364">
        <v>19.858726224054692</v>
      </c>
      <c r="J364" s="1" t="s">
        <v>156</v>
      </c>
      <c r="K364">
        <v>0</v>
      </c>
      <c r="L364">
        <v>0</v>
      </c>
      <c r="M364">
        <v>3600.058</v>
      </c>
      <c r="N364">
        <v>19.858726224054692</v>
      </c>
    </row>
    <row r="365" spans="1:14" hidden="1" x14ac:dyDescent="0.3">
      <c r="A365" s="1" t="s">
        <v>895</v>
      </c>
      <c r="B365" s="1" t="s">
        <v>13</v>
      </c>
      <c r="C365" s="1" t="s">
        <v>14</v>
      </c>
      <c r="D365">
        <v>5</v>
      </c>
      <c r="E365" s="1" t="s">
        <v>102</v>
      </c>
      <c r="F365" s="1" t="s">
        <v>896</v>
      </c>
      <c r="G365">
        <v>0</v>
      </c>
      <c r="H365" s="1" t="s">
        <v>102</v>
      </c>
      <c r="I365">
        <v>3.8475994136695402</v>
      </c>
      <c r="J365" s="1" t="s">
        <v>897</v>
      </c>
      <c r="K365">
        <v>0</v>
      </c>
      <c r="L365">
        <v>0</v>
      </c>
      <c r="M365">
        <v>3600.0259999999998</v>
      </c>
      <c r="N365">
        <v>3.8475994136695402</v>
      </c>
    </row>
    <row r="366" spans="1:14" hidden="1" x14ac:dyDescent="0.3">
      <c r="A366" s="1" t="s">
        <v>905</v>
      </c>
      <c r="B366" s="1" t="s">
        <v>18</v>
      </c>
      <c r="C366" s="1" t="s">
        <v>19</v>
      </c>
      <c r="D366">
        <v>1</v>
      </c>
      <c r="E366" s="1" t="s">
        <v>102</v>
      </c>
      <c r="F366" s="1" t="s">
        <v>896</v>
      </c>
      <c r="G366">
        <v>0</v>
      </c>
      <c r="H366" s="1" t="s">
        <v>102</v>
      </c>
      <c r="I366">
        <v>39.755750146150675</v>
      </c>
      <c r="J366" s="1" t="s">
        <v>897</v>
      </c>
      <c r="K366">
        <v>0</v>
      </c>
      <c r="L366">
        <v>15.017573519538377</v>
      </c>
      <c r="M366">
        <v>3600.107</v>
      </c>
      <c r="N366">
        <v>24.738176626612294</v>
      </c>
    </row>
    <row r="367" spans="1:14" hidden="1" x14ac:dyDescent="0.3">
      <c r="A367" s="1" t="s">
        <v>915</v>
      </c>
      <c r="B367" s="1" t="s">
        <v>18</v>
      </c>
      <c r="C367" s="1" t="s">
        <v>19</v>
      </c>
      <c r="D367">
        <v>2</v>
      </c>
      <c r="E367" s="1" t="s">
        <v>102</v>
      </c>
      <c r="F367" s="1" t="s">
        <v>896</v>
      </c>
      <c r="G367">
        <v>0</v>
      </c>
      <c r="H367" s="1" t="s">
        <v>102</v>
      </c>
      <c r="I367">
        <v>41.555424227173042</v>
      </c>
      <c r="J367" s="1" t="s">
        <v>897</v>
      </c>
      <c r="K367">
        <v>0</v>
      </c>
      <c r="L367">
        <v>15.435811686593444</v>
      </c>
      <c r="M367">
        <v>3600.12</v>
      </c>
      <c r="N367">
        <v>26.119612540579599</v>
      </c>
    </row>
    <row r="368" spans="1:14" hidden="1" x14ac:dyDescent="0.3">
      <c r="A368" s="1" t="s">
        <v>924</v>
      </c>
      <c r="B368" s="1" t="s">
        <v>18</v>
      </c>
      <c r="C368" s="1" t="s">
        <v>19</v>
      </c>
      <c r="D368">
        <v>3</v>
      </c>
      <c r="E368" s="1" t="s">
        <v>102</v>
      </c>
      <c r="F368" s="1" t="s">
        <v>925</v>
      </c>
      <c r="G368">
        <v>0</v>
      </c>
      <c r="H368" s="1" t="s">
        <v>102</v>
      </c>
      <c r="I368">
        <v>19.740402093227392</v>
      </c>
      <c r="J368" s="1" t="s">
        <v>897</v>
      </c>
      <c r="K368">
        <v>0</v>
      </c>
      <c r="L368">
        <v>0</v>
      </c>
      <c r="M368">
        <v>3600.0859999999998</v>
      </c>
      <c r="N368">
        <v>19.740402093227392</v>
      </c>
    </row>
    <row r="369" spans="1:14" hidden="1" x14ac:dyDescent="0.3">
      <c r="A369" s="1" t="s">
        <v>165</v>
      </c>
      <c r="B369" s="1" t="s">
        <v>18</v>
      </c>
      <c r="C369" s="1" t="s">
        <v>19</v>
      </c>
      <c r="D369">
        <v>4</v>
      </c>
      <c r="E369" s="1" t="s">
        <v>17</v>
      </c>
      <c r="F369" s="1" t="s">
        <v>166</v>
      </c>
      <c r="G369">
        <v>0</v>
      </c>
      <c r="H369" s="1" t="s">
        <v>17</v>
      </c>
      <c r="I369">
        <v>23.115855568532133</v>
      </c>
      <c r="J369" s="1" t="s">
        <v>167</v>
      </c>
      <c r="K369">
        <v>0</v>
      </c>
      <c r="L369">
        <v>2.6049284085366962</v>
      </c>
      <c r="M369">
        <v>3600.7660000000001</v>
      </c>
      <c r="N369">
        <v>20.510927159995436</v>
      </c>
    </row>
    <row r="370" spans="1:14" hidden="1" x14ac:dyDescent="0.3">
      <c r="A370" s="1" t="s">
        <v>174</v>
      </c>
      <c r="B370" s="1" t="s">
        <v>18</v>
      </c>
      <c r="C370" s="1" t="s">
        <v>19</v>
      </c>
      <c r="D370">
        <v>5</v>
      </c>
      <c r="E370" s="1" t="s">
        <v>16</v>
      </c>
      <c r="F370" s="1" t="s">
        <v>175</v>
      </c>
      <c r="G370">
        <v>0</v>
      </c>
      <c r="H370" s="1" t="s">
        <v>16</v>
      </c>
      <c r="I370">
        <v>34.23259926627064</v>
      </c>
      <c r="J370" s="1" t="s">
        <v>176</v>
      </c>
      <c r="K370">
        <v>0</v>
      </c>
      <c r="L370">
        <v>12.047395139822598</v>
      </c>
      <c r="M370">
        <v>3600.277</v>
      </c>
      <c r="N370">
        <v>22.185204126448042</v>
      </c>
    </row>
    <row r="371" spans="1:14" hidden="1" x14ac:dyDescent="0.3">
      <c r="A371" s="1" t="s">
        <v>244</v>
      </c>
      <c r="B371" s="1" t="s">
        <v>21</v>
      </c>
      <c r="C371" s="1" t="s">
        <v>22</v>
      </c>
      <c r="D371">
        <v>1</v>
      </c>
      <c r="E371" s="1" t="s">
        <v>16</v>
      </c>
      <c r="F371" s="1" t="s">
        <v>245</v>
      </c>
      <c r="G371">
        <v>0</v>
      </c>
      <c r="H371" s="1" t="s">
        <v>16</v>
      </c>
      <c r="I371">
        <v>87.71120226777964</v>
      </c>
      <c r="J371" s="1" t="s">
        <v>246</v>
      </c>
      <c r="K371">
        <v>0</v>
      </c>
      <c r="L371">
        <v>26.382169394360517</v>
      </c>
      <c r="M371">
        <v>3600.5259999999998</v>
      </c>
      <c r="N371">
        <v>61.329032873419123</v>
      </c>
    </row>
    <row r="372" spans="1:14" hidden="1" x14ac:dyDescent="0.3">
      <c r="A372" s="1" t="s">
        <v>255</v>
      </c>
      <c r="B372" s="1" t="s">
        <v>21</v>
      </c>
      <c r="C372" s="1" t="s">
        <v>22</v>
      </c>
      <c r="D372">
        <v>2</v>
      </c>
      <c r="E372" s="1" t="s">
        <v>16</v>
      </c>
      <c r="F372" s="1" t="s">
        <v>256</v>
      </c>
      <c r="G372">
        <v>0</v>
      </c>
      <c r="H372" s="1" t="s">
        <v>16</v>
      </c>
      <c r="I372">
        <v>75.236867826458607</v>
      </c>
      <c r="J372" s="1" t="s">
        <v>257</v>
      </c>
      <c r="K372">
        <v>0</v>
      </c>
      <c r="L372">
        <v>31.95658859316185</v>
      </c>
      <c r="M372">
        <v>3600.5230000000001</v>
      </c>
      <c r="N372">
        <v>43.28027923329676</v>
      </c>
    </row>
    <row r="373" spans="1:14" hidden="1" x14ac:dyDescent="0.3">
      <c r="A373" s="1" t="s">
        <v>177</v>
      </c>
      <c r="B373" s="1" t="s">
        <v>18</v>
      </c>
      <c r="C373" s="1" t="s">
        <v>19</v>
      </c>
      <c r="D373">
        <v>5</v>
      </c>
      <c r="E373" s="1" t="s">
        <v>17</v>
      </c>
      <c r="F373" s="1" t="s">
        <v>178</v>
      </c>
      <c r="G373">
        <v>0</v>
      </c>
      <c r="H373" s="1" t="s">
        <v>17</v>
      </c>
      <c r="I373">
        <v>34.167917464225027</v>
      </c>
      <c r="J373" s="1" t="s">
        <v>179</v>
      </c>
      <c r="K373">
        <v>0</v>
      </c>
      <c r="L373">
        <v>12.047395139822598</v>
      </c>
      <c r="M373">
        <v>3600.085</v>
      </c>
      <c r="N373">
        <v>22.120522324402426</v>
      </c>
    </row>
    <row r="374" spans="1:14" hidden="1" x14ac:dyDescent="0.3">
      <c r="A374" s="1" t="s">
        <v>266</v>
      </c>
      <c r="B374" s="1" t="s">
        <v>21</v>
      </c>
      <c r="C374" s="1" t="s">
        <v>22</v>
      </c>
      <c r="D374">
        <v>3</v>
      </c>
      <c r="E374" s="1" t="s">
        <v>16</v>
      </c>
      <c r="F374" s="1" t="s">
        <v>267</v>
      </c>
      <c r="G374">
        <v>0</v>
      </c>
      <c r="H374" s="1" t="s">
        <v>16</v>
      </c>
      <c r="I374">
        <v>78.281067711821493</v>
      </c>
      <c r="J374" s="1" t="s">
        <v>268</v>
      </c>
      <c r="K374">
        <v>0</v>
      </c>
      <c r="L374">
        <v>22.546752927329283</v>
      </c>
      <c r="M374">
        <v>3600.2649999999999</v>
      </c>
      <c r="N374">
        <v>55.734314784492213</v>
      </c>
    </row>
    <row r="375" spans="1:14" hidden="1" x14ac:dyDescent="0.3">
      <c r="A375" s="1" t="s">
        <v>247</v>
      </c>
      <c r="B375" s="1" t="s">
        <v>21</v>
      </c>
      <c r="C375" s="1" t="s">
        <v>22</v>
      </c>
      <c r="D375">
        <v>1</v>
      </c>
      <c r="E375" s="1" t="s">
        <v>17</v>
      </c>
      <c r="F375" s="1" t="s">
        <v>248</v>
      </c>
      <c r="G375">
        <v>0</v>
      </c>
      <c r="H375" s="1" t="s">
        <v>17</v>
      </c>
      <c r="I375">
        <v>87.977597793632953</v>
      </c>
      <c r="J375" s="1" t="s">
        <v>249</v>
      </c>
      <c r="K375">
        <v>0</v>
      </c>
      <c r="L375">
        <v>26.382169394360517</v>
      </c>
      <c r="M375">
        <v>3600.0929999999998</v>
      </c>
      <c r="N375">
        <v>61.595428399272429</v>
      </c>
    </row>
    <row r="376" spans="1:14" hidden="1" x14ac:dyDescent="0.3">
      <c r="A376" s="1" t="s">
        <v>258</v>
      </c>
      <c r="B376" s="1" t="s">
        <v>21</v>
      </c>
      <c r="C376" s="1" t="s">
        <v>22</v>
      </c>
      <c r="D376">
        <v>2</v>
      </c>
      <c r="E376" s="1" t="s">
        <v>17</v>
      </c>
      <c r="F376" s="1" t="s">
        <v>259</v>
      </c>
      <c r="G376">
        <v>0</v>
      </c>
      <c r="H376" s="1" t="s">
        <v>17</v>
      </c>
      <c r="I376">
        <v>75.04042152786279</v>
      </c>
      <c r="J376" s="1" t="s">
        <v>260</v>
      </c>
      <c r="K376">
        <v>0</v>
      </c>
      <c r="L376">
        <v>31.95658859316185</v>
      </c>
      <c r="M376">
        <v>3600.08</v>
      </c>
      <c r="N376">
        <v>43.083832934700936</v>
      </c>
    </row>
    <row r="377" spans="1:14" hidden="1" x14ac:dyDescent="0.3">
      <c r="A377" s="1" t="s">
        <v>934</v>
      </c>
      <c r="B377" s="1" t="s">
        <v>18</v>
      </c>
      <c r="C377" s="1" t="s">
        <v>19</v>
      </c>
      <c r="D377">
        <v>4</v>
      </c>
      <c r="E377" s="1" t="s">
        <v>102</v>
      </c>
      <c r="F377" s="1" t="s">
        <v>935</v>
      </c>
      <c r="G377">
        <v>0</v>
      </c>
      <c r="H377" s="1" t="s">
        <v>102</v>
      </c>
      <c r="I377">
        <v>22.758820843048209</v>
      </c>
      <c r="J377" s="1" t="s">
        <v>936</v>
      </c>
      <c r="K377">
        <v>0</v>
      </c>
      <c r="L377">
        <v>2.6049284085366962</v>
      </c>
      <c r="M377">
        <v>3600.0360000000001</v>
      </c>
      <c r="N377">
        <v>20.153892434511512</v>
      </c>
    </row>
    <row r="378" spans="1:14" hidden="1" x14ac:dyDescent="0.3">
      <c r="A378" s="1" t="s">
        <v>945</v>
      </c>
      <c r="B378" s="1" t="s">
        <v>18</v>
      </c>
      <c r="C378" s="1" t="s">
        <v>19</v>
      </c>
      <c r="D378">
        <v>5</v>
      </c>
      <c r="E378" s="1" t="s">
        <v>102</v>
      </c>
      <c r="F378" s="1" t="s">
        <v>946</v>
      </c>
      <c r="G378">
        <v>0</v>
      </c>
      <c r="H378" s="1" t="s">
        <v>102</v>
      </c>
      <c r="I378">
        <v>34.061136441961978</v>
      </c>
      <c r="J378" s="1" t="s">
        <v>936</v>
      </c>
      <c r="K378">
        <v>0</v>
      </c>
      <c r="L378">
        <v>12.047395139822598</v>
      </c>
      <c r="M378">
        <v>3600.1149999999998</v>
      </c>
      <c r="N378">
        <v>22.01374130213938</v>
      </c>
    </row>
    <row r="379" spans="1:14" hidden="1" x14ac:dyDescent="0.3">
      <c r="A379" s="1" t="s">
        <v>1040</v>
      </c>
      <c r="B379" s="1" t="s">
        <v>21</v>
      </c>
      <c r="C379" s="1" t="s">
        <v>22</v>
      </c>
      <c r="D379">
        <v>1</v>
      </c>
      <c r="E379" s="1" t="s">
        <v>102</v>
      </c>
      <c r="F379" s="1" t="s">
        <v>1041</v>
      </c>
      <c r="G379">
        <v>0</v>
      </c>
      <c r="H379" s="1" t="s">
        <v>102</v>
      </c>
      <c r="I379">
        <v>91.110922353225533</v>
      </c>
      <c r="J379" s="1" t="s">
        <v>936</v>
      </c>
      <c r="K379">
        <v>0</v>
      </c>
      <c r="L379">
        <v>26.382169394360517</v>
      </c>
      <c r="M379">
        <v>3600.239</v>
      </c>
      <c r="N379">
        <v>64.728752958865016</v>
      </c>
    </row>
    <row r="380" spans="1:14" hidden="1" x14ac:dyDescent="0.3">
      <c r="A380" s="1" t="s">
        <v>1055</v>
      </c>
      <c r="B380" s="1" t="s">
        <v>21</v>
      </c>
      <c r="C380" s="1" t="s">
        <v>22</v>
      </c>
      <c r="D380">
        <v>2</v>
      </c>
      <c r="E380" s="1" t="s">
        <v>102</v>
      </c>
      <c r="F380" s="1" t="s">
        <v>1056</v>
      </c>
      <c r="G380">
        <v>0</v>
      </c>
      <c r="H380" s="1" t="s">
        <v>102</v>
      </c>
      <c r="I380">
        <v>74.414072091046691</v>
      </c>
      <c r="J380" s="1" t="s">
        <v>936</v>
      </c>
      <c r="K380">
        <v>0</v>
      </c>
      <c r="L380">
        <v>31.95658859316185</v>
      </c>
      <c r="M380">
        <v>3600.2040000000002</v>
      </c>
      <c r="N380">
        <v>42.457483497884844</v>
      </c>
    </row>
    <row r="381" spans="1:14" hidden="1" x14ac:dyDescent="0.3">
      <c r="A381" s="1" t="s">
        <v>269</v>
      </c>
      <c r="B381" s="1" t="s">
        <v>21</v>
      </c>
      <c r="C381" s="1" t="s">
        <v>22</v>
      </c>
      <c r="D381">
        <v>3</v>
      </c>
      <c r="E381" s="1" t="s">
        <v>17</v>
      </c>
      <c r="F381" s="1" t="s">
        <v>270</v>
      </c>
      <c r="G381">
        <v>0</v>
      </c>
      <c r="H381" s="1" t="s">
        <v>17</v>
      </c>
      <c r="I381">
        <v>85.580124037721163</v>
      </c>
      <c r="J381" s="1" t="s">
        <v>271</v>
      </c>
      <c r="K381">
        <v>0</v>
      </c>
      <c r="L381">
        <v>30.128199596178408</v>
      </c>
      <c r="M381">
        <v>3600.6480000000001</v>
      </c>
      <c r="N381">
        <v>55.451924441542758</v>
      </c>
    </row>
    <row r="382" spans="1:14" hidden="1" x14ac:dyDescent="0.3">
      <c r="A382" s="1" t="s">
        <v>278</v>
      </c>
      <c r="B382" s="1" t="s">
        <v>21</v>
      </c>
      <c r="C382" s="1" t="s">
        <v>22</v>
      </c>
      <c r="D382">
        <v>4</v>
      </c>
      <c r="E382" s="1" t="s">
        <v>16</v>
      </c>
      <c r="F382" s="1" t="s">
        <v>279</v>
      </c>
      <c r="G382">
        <v>0</v>
      </c>
      <c r="H382" s="1" t="s">
        <v>16</v>
      </c>
      <c r="I382">
        <v>79.823886337707364</v>
      </c>
      <c r="J382" s="1" t="s">
        <v>280</v>
      </c>
      <c r="K382">
        <v>0</v>
      </c>
      <c r="L382">
        <v>35.919588730635482</v>
      </c>
      <c r="M382">
        <v>3600.5659999999998</v>
      </c>
      <c r="N382">
        <v>43.904297607071889</v>
      </c>
    </row>
    <row r="383" spans="1:14" hidden="1" x14ac:dyDescent="0.3">
      <c r="A383" s="1" t="s">
        <v>289</v>
      </c>
      <c r="B383" s="1" t="s">
        <v>21</v>
      </c>
      <c r="C383" s="1" t="s">
        <v>22</v>
      </c>
      <c r="D383">
        <v>5</v>
      </c>
      <c r="E383" s="1" t="s">
        <v>16</v>
      </c>
      <c r="F383" s="1" t="s">
        <v>290</v>
      </c>
      <c r="G383">
        <v>0</v>
      </c>
      <c r="H383" s="1" t="s">
        <v>16</v>
      </c>
      <c r="I383">
        <v>63.492378102066596</v>
      </c>
      <c r="J383" s="1" t="s">
        <v>291</v>
      </c>
      <c r="K383">
        <v>0</v>
      </c>
      <c r="L383">
        <v>9.5620044166382758</v>
      </c>
      <c r="M383">
        <v>3600.0540000000001</v>
      </c>
      <c r="N383">
        <v>53.930373685428322</v>
      </c>
    </row>
    <row r="384" spans="1:14" hidden="1" x14ac:dyDescent="0.3">
      <c r="A384" s="1" t="s">
        <v>300</v>
      </c>
      <c r="B384" s="1" t="s">
        <v>23</v>
      </c>
      <c r="C384" s="1" t="s">
        <v>24</v>
      </c>
      <c r="D384">
        <v>1</v>
      </c>
      <c r="E384" s="1" t="s">
        <v>16</v>
      </c>
      <c r="F384" s="1" t="s">
        <v>301</v>
      </c>
      <c r="G384">
        <v>0</v>
      </c>
      <c r="H384" s="1" t="s">
        <v>16</v>
      </c>
      <c r="I384">
        <v>96.057852332269405</v>
      </c>
      <c r="J384" s="1" t="s">
        <v>302</v>
      </c>
      <c r="K384">
        <v>0</v>
      </c>
      <c r="L384">
        <v>19.286725967848664</v>
      </c>
      <c r="M384">
        <v>3600.7579999999998</v>
      </c>
      <c r="N384">
        <v>76.771126364420738</v>
      </c>
    </row>
    <row r="385" spans="1:14" hidden="1" x14ac:dyDescent="0.3">
      <c r="A385" s="1" t="s">
        <v>281</v>
      </c>
      <c r="B385" s="1" t="s">
        <v>21</v>
      </c>
      <c r="C385" s="1" t="s">
        <v>22</v>
      </c>
      <c r="D385">
        <v>4</v>
      </c>
      <c r="E385" s="1" t="s">
        <v>17</v>
      </c>
      <c r="F385" s="1" t="s">
        <v>282</v>
      </c>
      <c r="G385">
        <v>0</v>
      </c>
      <c r="H385" s="1" t="s">
        <v>17</v>
      </c>
      <c r="I385">
        <v>82.049848009066338</v>
      </c>
      <c r="J385" s="1" t="s">
        <v>283</v>
      </c>
      <c r="K385">
        <v>0</v>
      </c>
      <c r="L385">
        <v>38.990911538378555</v>
      </c>
      <c r="M385">
        <v>3600.509</v>
      </c>
      <c r="N385">
        <v>43.058936470687783</v>
      </c>
    </row>
    <row r="386" spans="1:14" hidden="1" x14ac:dyDescent="0.3">
      <c r="A386" s="1" t="s">
        <v>312</v>
      </c>
      <c r="B386" s="1" t="s">
        <v>23</v>
      </c>
      <c r="C386" s="1" t="s">
        <v>24</v>
      </c>
      <c r="D386">
        <v>2</v>
      </c>
      <c r="E386" s="1" t="s">
        <v>16</v>
      </c>
      <c r="F386" s="1" t="s">
        <v>313</v>
      </c>
      <c r="G386">
        <v>0</v>
      </c>
      <c r="H386" s="1" t="s">
        <v>16</v>
      </c>
      <c r="I386">
        <v>103.75426744136814</v>
      </c>
      <c r="J386" s="1" t="s">
        <v>314</v>
      </c>
      <c r="K386">
        <v>0</v>
      </c>
      <c r="L386">
        <v>24.938178981884768</v>
      </c>
      <c r="M386">
        <v>3601.009</v>
      </c>
      <c r="N386">
        <v>78.816088459483382</v>
      </c>
    </row>
    <row r="387" spans="1:14" hidden="1" x14ac:dyDescent="0.3">
      <c r="A387" s="1" t="s">
        <v>292</v>
      </c>
      <c r="B387" s="1" t="s">
        <v>21</v>
      </c>
      <c r="C387" s="1" t="s">
        <v>22</v>
      </c>
      <c r="D387">
        <v>5</v>
      </c>
      <c r="E387" s="1" t="s">
        <v>17</v>
      </c>
      <c r="F387" s="1" t="s">
        <v>293</v>
      </c>
      <c r="G387">
        <v>0</v>
      </c>
      <c r="H387" s="1" t="s">
        <v>17</v>
      </c>
      <c r="I387">
        <v>74.560326357414041</v>
      </c>
      <c r="J387" s="1" t="s">
        <v>294</v>
      </c>
      <c r="K387">
        <v>0</v>
      </c>
      <c r="L387">
        <v>20.266150722555693</v>
      </c>
      <c r="M387">
        <v>3600.181</v>
      </c>
      <c r="N387">
        <v>54.294175634858348</v>
      </c>
    </row>
    <row r="388" spans="1:14" hidden="1" x14ac:dyDescent="0.3">
      <c r="A388" s="1" t="s">
        <v>303</v>
      </c>
      <c r="B388" s="1" t="s">
        <v>23</v>
      </c>
      <c r="C388" s="1" t="s">
        <v>24</v>
      </c>
      <c r="D388">
        <v>1</v>
      </c>
      <c r="E388" s="1" t="s">
        <v>17</v>
      </c>
      <c r="F388" s="1" t="s">
        <v>304</v>
      </c>
      <c r="G388">
        <v>0</v>
      </c>
      <c r="H388" s="1" t="s">
        <v>17</v>
      </c>
      <c r="I388">
        <v>95.2872019031946</v>
      </c>
      <c r="J388" s="1" t="s">
        <v>305</v>
      </c>
      <c r="K388">
        <v>0</v>
      </c>
      <c r="L388">
        <v>19.286725967848664</v>
      </c>
      <c r="M388">
        <v>3600.232</v>
      </c>
      <c r="N388">
        <v>76.000475935345932</v>
      </c>
    </row>
    <row r="389" spans="1:14" hidden="1" x14ac:dyDescent="0.3">
      <c r="A389" s="1" t="s">
        <v>1069</v>
      </c>
      <c r="B389" s="1" t="s">
        <v>21</v>
      </c>
      <c r="C389" s="1" t="s">
        <v>22</v>
      </c>
      <c r="D389">
        <v>3</v>
      </c>
      <c r="E389" s="1" t="s">
        <v>102</v>
      </c>
      <c r="F389" s="1" t="s">
        <v>1070</v>
      </c>
      <c r="G389">
        <v>0</v>
      </c>
      <c r="H389" s="1" t="s">
        <v>102</v>
      </c>
      <c r="I389">
        <v>77.832460178144686</v>
      </c>
      <c r="J389" s="1" t="s">
        <v>1071</v>
      </c>
      <c r="K389">
        <v>0</v>
      </c>
      <c r="L389">
        <v>23.432433617645557</v>
      </c>
      <c r="M389">
        <v>3600.3420000000001</v>
      </c>
      <c r="N389">
        <v>54.400026560499136</v>
      </c>
    </row>
    <row r="390" spans="1:14" hidden="1" x14ac:dyDescent="0.3">
      <c r="A390" s="1" t="s">
        <v>1086</v>
      </c>
      <c r="B390" s="1" t="s">
        <v>21</v>
      </c>
      <c r="C390" s="1" t="s">
        <v>22</v>
      </c>
      <c r="D390">
        <v>4</v>
      </c>
      <c r="E390" s="1" t="s">
        <v>102</v>
      </c>
      <c r="F390" s="1" t="s">
        <v>1087</v>
      </c>
      <c r="G390">
        <v>0</v>
      </c>
      <c r="H390" s="1" t="s">
        <v>102</v>
      </c>
      <c r="I390">
        <v>93.533479098729757</v>
      </c>
      <c r="J390" s="1" t="s">
        <v>1071</v>
      </c>
      <c r="K390">
        <v>0</v>
      </c>
      <c r="L390">
        <v>44.40114583427215</v>
      </c>
      <c r="M390">
        <v>3600.326</v>
      </c>
      <c r="N390">
        <v>49.132333264457607</v>
      </c>
    </row>
    <row r="391" spans="1:14" hidden="1" x14ac:dyDescent="0.3">
      <c r="A391" s="1" t="s">
        <v>1102</v>
      </c>
      <c r="B391" s="1" t="s">
        <v>21</v>
      </c>
      <c r="C391" s="1" t="s">
        <v>22</v>
      </c>
      <c r="D391">
        <v>5</v>
      </c>
      <c r="E391" s="1" t="s">
        <v>102</v>
      </c>
      <c r="F391" s="1" t="s">
        <v>1103</v>
      </c>
      <c r="G391">
        <v>0</v>
      </c>
      <c r="H391" s="1" t="s">
        <v>102</v>
      </c>
      <c r="I391">
        <v>62.711819470032211</v>
      </c>
      <c r="J391" s="1" t="s">
        <v>1104</v>
      </c>
      <c r="K391">
        <v>0</v>
      </c>
      <c r="L391">
        <v>9.5620044166382758</v>
      </c>
      <c r="M391">
        <v>3600.248</v>
      </c>
      <c r="N391">
        <v>53.149815053393937</v>
      </c>
    </row>
    <row r="392" spans="1:14" hidden="1" x14ac:dyDescent="0.3">
      <c r="A392" s="1" t="s">
        <v>1123</v>
      </c>
      <c r="B392" s="1" t="s">
        <v>23</v>
      </c>
      <c r="C392" s="1" t="s">
        <v>24</v>
      </c>
      <c r="D392">
        <v>1</v>
      </c>
      <c r="E392" s="1" t="s">
        <v>102</v>
      </c>
      <c r="F392" s="1" t="s">
        <v>1124</v>
      </c>
      <c r="G392">
        <v>0</v>
      </c>
      <c r="H392" s="1" t="s">
        <v>102</v>
      </c>
      <c r="I392">
        <v>100.54706596360059</v>
      </c>
      <c r="J392" s="1" t="s">
        <v>1104</v>
      </c>
      <c r="K392">
        <v>0</v>
      </c>
      <c r="L392">
        <v>19.286725967848664</v>
      </c>
      <c r="M392">
        <v>3600.402</v>
      </c>
      <c r="N392">
        <v>81.26033999575192</v>
      </c>
    </row>
    <row r="393" spans="1:14" hidden="1" x14ac:dyDescent="0.3">
      <c r="A393" s="1" t="s">
        <v>315</v>
      </c>
      <c r="B393" s="1" t="s">
        <v>23</v>
      </c>
      <c r="C393" s="1" t="s">
        <v>24</v>
      </c>
      <c r="D393">
        <v>2</v>
      </c>
      <c r="E393" s="1" t="s">
        <v>17</v>
      </c>
      <c r="F393" s="1" t="s">
        <v>316</v>
      </c>
      <c r="G393">
        <v>0</v>
      </c>
      <c r="H393" s="1" t="s">
        <v>17</v>
      </c>
      <c r="I393">
        <v>107.79787016615427</v>
      </c>
      <c r="J393" s="1" t="s">
        <v>317</v>
      </c>
      <c r="K393">
        <v>0</v>
      </c>
      <c r="L393">
        <v>29.373760590468656</v>
      </c>
      <c r="M393">
        <v>3600.0680000000002</v>
      </c>
      <c r="N393">
        <v>78.42410957568562</v>
      </c>
    </row>
    <row r="394" spans="1:14" hidden="1" x14ac:dyDescent="0.3">
      <c r="A394" s="1" t="s">
        <v>324</v>
      </c>
      <c r="B394" s="1" t="s">
        <v>23</v>
      </c>
      <c r="C394" s="1" t="s">
        <v>24</v>
      </c>
      <c r="D394">
        <v>3</v>
      </c>
      <c r="E394" s="1" t="s">
        <v>16</v>
      </c>
      <c r="F394" s="1" t="s">
        <v>325</v>
      </c>
      <c r="G394">
        <v>0</v>
      </c>
      <c r="H394" s="1" t="s">
        <v>16</v>
      </c>
      <c r="I394">
        <v>96.89826578643283</v>
      </c>
      <c r="J394" s="1" t="s">
        <v>326</v>
      </c>
      <c r="K394">
        <v>0</v>
      </c>
      <c r="L394">
        <v>23.33584345370835</v>
      </c>
      <c r="M394">
        <v>3600.3589999999999</v>
      </c>
      <c r="N394">
        <v>73.562422332724481</v>
      </c>
    </row>
    <row r="395" spans="1:14" hidden="1" x14ac:dyDescent="0.3">
      <c r="A395" s="1" t="s">
        <v>335</v>
      </c>
      <c r="B395" s="1" t="s">
        <v>23</v>
      </c>
      <c r="C395" s="1" t="s">
        <v>24</v>
      </c>
      <c r="D395">
        <v>4</v>
      </c>
      <c r="E395" s="1" t="s">
        <v>16</v>
      </c>
      <c r="F395" s="1" t="s">
        <v>336</v>
      </c>
      <c r="G395">
        <v>0</v>
      </c>
      <c r="H395" s="1" t="s">
        <v>16</v>
      </c>
      <c r="I395">
        <v>99.010361511311643</v>
      </c>
      <c r="J395" s="1" t="s">
        <v>337</v>
      </c>
      <c r="K395">
        <v>0</v>
      </c>
      <c r="L395">
        <v>19.200038895196247</v>
      </c>
      <c r="M395">
        <v>3600.2260000000001</v>
      </c>
      <c r="N395">
        <v>79.8103226161154</v>
      </c>
    </row>
    <row r="396" spans="1:14" hidden="1" x14ac:dyDescent="0.3">
      <c r="A396" s="1" t="s">
        <v>347</v>
      </c>
      <c r="B396" s="1" t="s">
        <v>23</v>
      </c>
      <c r="C396" s="1" t="s">
        <v>24</v>
      </c>
      <c r="D396">
        <v>5</v>
      </c>
      <c r="E396" s="1" t="s">
        <v>16</v>
      </c>
      <c r="F396" s="1" t="s">
        <v>348</v>
      </c>
      <c r="G396">
        <v>0</v>
      </c>
      <c r="H396" s="1" t="s">
        <v>16</v>
      </c>
      <c r="I396">
        <v>107.9504301020327</v>
      </c>
      <c r="J396" s="1" t="s">
        <v>349</v>
      </c>
      <c r="K396">
        <v>0</v>
      </c>
      <c r="L396">
        <v>26.420122332213175</v>
      </c>
      <c r="M396">
        <v>3600.366</v>
      </c>
      <c r="N396">
        <v>81.530307769819515</v>
      </c>
    </row>
    <row r="397" spans="1:14" hidden="1" x14ac:dyDescent="0.3">
      <c r="A397" s="1" t="s">
        <v>327</v>
      </c>
      <c r="B397" s="1" t="s">
        <v>23</v>
      </c>
      <c r="C397" s="1" t="s">
        <v>24</v>
      </c>
      <c r="D397">
        <v>3</v>
      </c>
      <c r="E397" s="1" t="s">
        <v>17</v>
      </c>
      <c r="F397" s="1" t="s">
        <v>328</v>
      </c>
      <c r="G397">
        <v>0</v>
      </c>
      <c r="H397" s="1" t="s">
        <v>17</v>
      </c>
      <c r="I397">
        <v>100.47303179399104</v>
      </c>
      <c r="J397" s="1" t="s">
        <v>329</v>
      </c>
      <c r="K397">
        <v>0</v>
      </c>
      <c r="L397">
        <v>27.49581398387917</v>
      </c>
      <c r="M397">
        <v>3600.8420000000001</v>
      </c>
      <c r="N397">
        <v>72.977217810111867</v>
      </c>
    </row>
    <row r="398" spans="1:14" hidden="1" x14ac:dyDescent="0.3">
      <c r="A398" s="1" t="s">
        <v>402</v>
      </c>
      <c r="B398" s="1" t="s">
        <v>26</v>
      </c>
      <c r="C398" s="1" t="s">
        <v>27</v>
      </c>
      <c r="D398">
        <v>1</v>
      </c>
      <c r="E398" s="1" t="s">
        <v>16</v>
      </c>
      <c r="F398" s="1" t="s">
        <v>403</v>
      </c>
      <c r="G398">
        <v>0</v>
      </c>
      <c r="H398" s="1" t="s">
        <v>16</v>
      </c>
      <c r="I398">
        <v>112.44468498811091</v>
      </c>
      <c r="J398" s="1" t="s">
        <v>404</v>
      </c>
      <c r="K398">
        <v>0</v>
      </c>
      <c r="L398">
        <v>12.160176349158526</v>
      </c>
      <c r="M398">
        <v>3600.922</v>
      </c>
      <c r="N398">
        <v>100.28450863895239</v>
      </c>
    </row>
    <row r="399" spans="1:14" hidden="1" x14ac:dyDescent="0.3">
      <c r="A399" s="1" t="s">
        <v>338</v>
      </c>
      <c r="B399" s="1" t="s">
        <v>23</v>
      </c>
      <c r="C399" s="1" t="s">
        <v>24</v>
      </c>
      <c r="D399">
        <v>4</v>
      </c>
      <c r="E399" s="1" t="s">
        <v>17</v>
      </c>
      <c r="F399" s="1" t="s">
        <v>339</v>
      </c>
      <c r="G399">
        <v>0</v>
      </c>
      <c r="H399" s="1" t="s">
        <v>17</v>
      </c>
      <c r="I399">
        <v>108.49097012380952</v>
      </c>
      <c r="J399" s="1" t="s">
        <v>340</v>
      </c>
      <c r="K399">
        <v>0</v>
      </c>
      <c r="L399">
        <v>29.982671472237932</v>
      </c>
      <c r="M399">
        <v>3600.0680000000002</v>
      </c>
      <c r="N399">
        <v>78.508298651571593</v>
      </c>
    </row>
    <row r="400" spans="1:14" hidden="1" x14ac:dyDescent="0.3">
      <c r="A400" s="1" t="s">
        <v>350</v>
      </c>
      <c r="B400" s="1" t="s">
        <v>23</v>
      </c>
      <c r="C400" s="1" t="s">
        <v>24</v>
      </c>
      <c r="D400">
        <v>5</v>
      </c>
      <c r="E400" s="1" t="s">
        <v>17</v>
      </c>
      <c r="F400" s="1" t="s">
        <v>351</v>
      </c>
      <c r="G400">
        <v>0</v>
      </c>
      <c r="H400" s="1" t="s">
        <v>17</v>
      </c>
      <c r="I400">
        <v>120.55877081221855</v>
      </c>
      <c r="J400" s="1" t="s">
        <v>352</v>
      </c>
      <c r="K400">
        <v>0</v>
      </c>
      <c r="L400">
        <v>39.022460008692505</v>
      </c>
      <c r="M400">
        <v>3600.0889999999999</v>
      </c>
      <c r="N400">
        <v>81.53631080352605</v>
      </c>
    </row>
    <row r="401" spans="1:14" hidden="1" x14ac:dyDescent="0.3">
      <c r="A401" s="1" t="s">
        <v>1140</v>
      </c>
      <c r="B401" s="1" t="s">
        <v>23</v>
      </c>
      <c r="C401" s="1" t="s">
        <v>24</v>
      </c>
      <c r="D401">
        <v>2</v>
      </c>
      <c r="E401" s="1" t="s">
        <v>102</v>
      </c>
      <c r="F401" s="1" t="s">
        <v>1141</v>
      </c>
      <c r="G401">
        <v>0</v>
      </c>
      <c r="H401" s="1" t="s">
        <v>102</v>
      </c>
      <c r="I401">
        <v>101.1797793547014</v>
      </c>
      <c r="J401" s="1" t="s">
        <v>1142</v>
      </c>
      <c r="K401">
        <v>0</v>
      </c>
      <c r="L401">
        <v>24.938178981884768</v>
      </c>
      <c r="M401">
        <v>3600.4389999999999</v>
      </c>
      <c r="N401">
        <v>76.24160037281662</v>
      </c>
    </row>
    <row r="402" spans="1:14" hidden="1" x14ac:dyDescent="0.3">
      <c r="A402" s="1" t="s">
        <v>1154</v>
      </c>
      <c r="B402" s="1" t="s">
        <v>23</v>
      </c>
      <c r="C402" s="1" t="s">
        <v>24</v>
      </c>
      <c r="D402">
        <v>3</v>
      </c>
      <c r="E402" s="1" t="s">
        <v>102</v>
      </c>
      <c r="F402" s="1" t="s">
        <v>1155</v>
      </c>
      <c r="G402">
        <v>0</v>
      </c>
      <c r="H402" s="1" t="s">
        <v>102</v>
      </c>
      <c r="I402">
        <v>101.16534685731428</v>
      </c>
      <c r="J402" s="1" t="s">
        <v>1142</v>
      </c>
      <c r="K402">
        <v>0</v>
      </c>
      <c r="L402">
        <v>29.180688396868778</v>
      </c>
      <c r="M402">
        <v>3600.3780000000002</v>
      </c>
      <c r="N402">
        <v>71.984658460445502</v>
      </c>
    </row>
    <row r="403" spans="1:14" hidden="1" x14ac:dyDescent="0.3">
      <c r="A403" s="1" t="s">
        <v>1168</v>
      </c>
      <c r="B403" s="1" t="s">
        <v>23</v>
      </c>
      <c r="C403" s="1" t="s">
        <v>24</v>
      </c>
      <c r="D403">
        <v>4</v>
      </c>
      <c r="E403" s="1" t="s">
        <v>102</v>
      </c>
      <c r="F403" s="1" t="s">
        <v>1169</v>
      </c>
      <c r="G403">
        <v>0</v>
      </c>
      <c r="H403" s="1" t="s">
        <v>102</v>
      </c>
      <c r="I403">
        <v>101.81491162752467</v>
      </c>
      <c r="J403" s="1" t="s">
        <v>1142</v>
      </c>
      <c r="K403">
        <v>0</v>
      </c>
      <c r="L403">
        <v>24.236889193623242</v>
      </c>
      <c r="M403">
        <v>3600.4380000000001</v>
      </c>
      <c r="N403">
        <v>77.578022433901424</v>
      </c>
    </row>
    <row r="404" spans="1:14" hidden="1" x14ac:dyDescent="0.3">
      <c r="A404" s="1" t="s">
        <v>1191</v>
      </c>
      <c r="B404" s="1" t="s">
        <v>23</v>
      </c>
      <c r="C404" s="1" t="s">
        <v>24</v>
      </c>
      <c r="D404">
        <v>5</v>
      </c>
      <c r="E404" s="1" t="s">
        <v>102</v>
      </c>
      <c r="F404" s="1" t="s">
        <v>1192</v>
      </c>
      <c r="G404">
        <v>0</v>
      </c>
      <c r="H404" s="1" t="s">
        <v>102</v>
      </c>
      <c r="I404">
        <v>106.84900127274494</v>
      </c>
      <c r="J404" s="1" t="s">
        <v>1142</v>
      </c>
      <c r="K404">
        <v>0</v>
      </c>
      <c r="L404">
        <v>26.420122332213175</v>
      </c>
      <c r="M404">
        <v>3600.4839999999999</v>
      </c>
      <c r="N404">
        <v>80.42887894053176</v>
      </c>
    </row>
    <row r="405" spans="1:14" hidden="1" x14ac:dyDescent="0.3">
      <c r="A405" s="1" t="s">
        <v>405</v>
      </c>
      <c r="B405" s="1" t="s">
        <v>26</v>
      </c>
      <c r="C405" s="1" t="s">
        <v>27</v>
      </c>
      <c r="D405">
        <v>1</v>
      </c>
      <c r="E405" s="1" t="s">
        <v>17</v>
      </c>
      <c r="F405" s="1" t="s">
        <v>406</v>
      </c>
      <c r="G405">
        <v>0</v>
      </c>
      <c r="H405" s="1" t="s">
        <v>17</v>
      </c>
      <c r="I405">
        <v>115.84930425941576</v>
      </c>
      <c r="J405" s="1" t="s">
        <v>407</v>
      </c>
      <c r="K405">
        <v>0</v>
      </c>
      <c r="L405">
        <v>15.636186582708813</v>
      </c>
      <c r="M405">
        <v>3600.2060000000001</v>
      </c>
      <c r="N405">
        <v>100.21311767670694</v>
      </c>
    </row>
    <row r="406" spans="1:14" hidden="1" x14ac:dyDescent="0.3">
      <c r="A406" s="1" t="s">
        <v>414</v>
      </c>
      <c r="B406" s="1" t="s">
        <v>26</v>
      </c>
      <c r="C406" s="1" t="s">
        <v>27</v>
      </c>
      <c r="D406">
        <v>2</v>
      </c>
      <c r="E406" s="1" t="s">
        <v>16</v>
      </c>
      <c r="F406" s="1" t="s">
        <v>415</v>
      </c>
      <c r="G406">
        <v>0</v>
      </c>
      <c r="H406" s="1" t="s">
        <v>16</v>
      </c>
      <c r="I406">
        <v>136.135364351471</v>
      </c>
      <c r="J406" s="1" t="s">
        <v>416</v>
      </c>
      <c r="K406">
        <v>0</v>
      </c>
      <c r="L406">
        <v>34.243090666664436</v>
      </c>
      <c r="M406">
        <v>3600.1</v>
      </c>
      <c r="N406">
        <v>101.89227368480655</v>
      </c>
    </row>
    <row r="407" spans="1:14" hidden="1" x14ac:dyDescent="0.3">
      <c r="A407" s="1" t="s">
        <v>425</v>
      </c>
      <c r="B407" s="1" t="s">
        <v>26</v>
      </c>
      <c r="C407" s="1" t="s">
        <v>27</v>
      </c>
      <c r="D407">
        <v>3</v>
      </c>
      <c r="E407" s="1" t="s">
        <v>16</v>
      </c>
      <c r="F407" s="1" t="s">
        <v>426</v>
      </c>
      <c r="G407">
        <v>0</v>
      </c>
      <c r="H407" s="1" t="s">
        <v>16</v>
      </c>
      <c r="I407">
        <v>112.49228066462901</v>
      </c>
      <c r="J407" s="1" t="s">
        <v>427</v>
      </c>
      <c r="K407">
        <v>0</v>
      </c>
      <c r="L407">
        <v>10.482065555535547</v>
      </c>
      <c r="M407">
        <v>3600.2069999999999</v>
      </c>
      <c r="N407">
        <v>102.01021510909347</v>
      </c>
    </row>
    <row r="408" spans="1:14" hidden="1" x14ac:dyDescent="0.3">
      <c r="A408" s="1" t="s">
        <v>437</v>
      </c>
      <c r="B408" s="1" t="s">
        <v>26</v>
      </c>
      <c r="C408" s="1" t="s">
        <v>27</v>
      </c>
      <c r="D408">
        <v>4</v>
      </c>
      <c r="E408" s="1" t="s">
        <v>16</v>
      </c>
      <c r="F408" s="1" t="s">
        <v>438</v>
      </c>
      <c r="G408">
        <v>0</v>
      </c>
      <c r="H408" s="1" t="s">
        <v>16</v>
      </c>
      <c r="I408">
        <v>128.2387680792381</v>
      </c>
      <c r="J408" s="1" t="s">
        <v>439</v>
      </c>
      <c r="K408">
        <v>0</v>
      </c>
      <c r="L408">
        <v>29.785719956418404</v>
      </c>
      <c r="M408">
        <v>3600.8919999999998</v>
      </c>
      <c r="N408">
        <v>98.453048122819695</v>
      </c>
    </row>
    <row r="409" spans="1:14" hidden="1" x14ac:dyDescent="0.3">
      <c r="A409" s="1" t="s">
        <v>417</v>
      </c>
      <c r="B409" s="1" t="s">
        <v>26</v>
      </c>
      <c r="C409" s="1" t="s">
        <v>27</v>
      </c>
      <c r="D409">
        <v>2</v>
      </c>
      <c r="E409" s="1" t="s">
        <v>17</v>
      </c>
      <c r="F409" s="1" t="s">
        <v>418</v>
      </c>
      <c r="G409">
        <v>0</v>
      </c>
      <c r="H409" s="1" t="s">
        <v>17</v>
      </c>
      <c r="I409">
        <v>140.0327761318037</v>
      </c>
      <c r="J409" s="1" t="s">
        <v>419</v>
      </c>
      <c r="K409">
        <v>0</v>
      </c>
      <c r="L409">
        <v>37.753167252478619</v>
      </c>
      <c r="M409">
        <v>3600.1030000000001</v>
      </c>
      <c r="N409">
        <v>102.2796088793251</v>
      </c>
    </row>
    <row r="410" spans="1:14" hidden="1" x14ac:dyDescent="0.3">
      <c r="A410" s="1" t="s">
        <v>448</v>
      </c>
      <c r="B410" s="1" t="s">
        <v>26</v>
      </c>
      <c r="C410" s="1" t="s">
        <v>27</v>
      </c>
      <c r="D410">
        <v>5</v>
      </c>
      <c r="E410" s="1" t="s">
        <v>16</v>
      </c>
      <c r="F410" s="1" t="s">
        <v>449</v>
      </c>
      <c r="G410">
        <v>0</v>
      </c>
      <c r="H410" s="1" t="s">
        <v>16</v>
      </c>
      <c r="I410">
        <v>164.89065281409654</v>
      </c>
      <c r="J410" s="1" t="s">
        <v>450</v>
      </c>
      <c r="K410">
        <v>0</v>
      </c>
      <c r="L410">
        <v>45.146485720061563</v>
      </c>
      <c r="M410">
        <v>3600.3919999999998</v>
      </c>
      <c r="N410">
        <v>119.74416709403499</v>
      </c>
    </row>
    <row r="411" spans="1:14" hidden="1" x14ac:dyDescent="0.3">
      <c r="A411" s="1" t="s">
        <v>428</v>
      </c>
      <c r="B411" s="1" t="s">
        <v>26</v>
      </c>
      <c r="C411" s="1" t="s">
        <v>27</v>
      </c>
      <c r="D411">
        <v>3</v>
      </c>
      <c r="E411" s="1" t="s">
        <v>17</v>
      </c>
      <c r="F411" s="1" t="s">
        <v>429</v>
      </c>
      <c r="G411">
        <v>0</v>
      </c>
      <c r="H411" s="1" t="s">
        <v>17</v>
      </c>
      <c r="I411">
        <v>116.44529368534347</v>
      </c>
      <c r="J411" s="1" t="s">
        <v>430</v>
      </c>
      <c r="K411">
        <v>0</v>
      </c>
      <c r="L411">
        <v>15.32970189223624</v>
      </c>
      <c r="M411">
        <v>3600.4319999999998</v>
      </c>
      <c r="N411">
        <v>101.11559179310723</v>
      </c>
    </row>
    <row r="412" spans="1:14" hidden="1" x14ac:dyDescent="0.3">
      <c r="A412" s="1" t="s">
        <v>440</v>
      </c>
      <c r="B412" s="1" t="s">
        <v>26</v>
      </c>
      <c r="C412" s="1" t="s">
        <v>27</v>
      </c>
      <c r="D412">
        <v>4</v>
      </c>
      <c r="E412" s="1" t="s">
        <v>17</v>
      </c>
      <c r="F412" s="1" t="s">
        <v>441</v>
      </c>
      <c r="G412">
        <v>0</v>
      </c>
      <c r="H412" s="1" t="s">
        <v>17</v>
      </c>
      <c r="I412">
        <v>133.51281268459496</v>
      </c>
      <c r="J412" s="1" t="s">
        <v>442</v>
      </c>
      <c r="K412">
        <v>0</v>
      </c>
      <c r="L412">
        <v>35.150007574652143</v>
      </c>
      <c r="M412">
        <v>3600.61</v>
      </c>
      <c r="N412">
        <v>98.362805109942812</v>
      </c>
    </row>
    <row r="413" spans="1:14" hidden="1" x14ac:dyDescent="0.3">
      <c r="A413" s="1" t="s">
        <v>1288</v>
      </c>
      <c r="B413" s="1" t="s">
        <v>26</v>
      </c>
      <c r="C413" s="1" t="s">
        <v>27</v>
      </c>
      <c r="D413">
        <v>1</v>
      </c>
      <c r="E413" s="1" t="s">
        <v>102</v>
      </c>
      <c r="F413" s="1" t="s">
        <v>1289</v>
      </c>
      <c r="G413">
        <v>0</v>
      </c>
      <c r="H413" s="1" t="s">
        <v>102</v>
      </c>
      <c r="I413">
        <v>117.34141983938255</v>
      </c>
      <c r="J413" s="1" t="s">
        <v>1290</v>
      </c>
      <c r="K413">
        <v>0</v>
      </c>
      <c r="L413">
        <v>12.160176349158526</v>
      </c>
      <c r="M413">
        <v>3600.7849999999999</v>
      </c>
      <c r="N413">
        <v>105.18124349022402</v>
      </c>
    </row>
    <row r="414" spans="1:14" hidden="1" x14ac:dyDescent="0.3">
      <c r="A414" s="1" t="s">
        <v>1309</v>
      </c>
      <c r="B414" s="1" t="s">
        <v>26</v>
      </c>
      <c r="C414" s="1" t="s">
        <v>27</v>
      </c>
      <c r="D414">
        <v>2</v>
      </c>
      <c r="E414" s="1" t="s">
        <v>102</v>
      </c>
      <c r="F414" s="1" t="s">
        <v>1310</v>
      </c>
      <c r="G414">
        <v>0</v>
      </c>
      <c r="H414" s="1" t="s">
        <v>102</v>
      </c>
      <c r="I414">
        <v>156.16359581380024</v>
      </c>
      <c r="J414" s="1" t="s">
        <v>1290</v>
      </c>
      <c r="K414">
        <v>0</v>
      </c>
      <c r="L414">
        <v>42.146551991174015</v>
      </c>
      <c r="M414">
        <v>3600.748</v>
      </c>
      <c r="N414">
        <v>114.01704382262622</v>
      </c>
    </row>
    <row r="415" spans="1:14" hidden="1" x14ac:dyDescent="0.3">
      <c r="A415" s="1" t="s">
        <v>1326</v>
      </c>
      <c r="B415" s="1" t="s">
        <v>26</v>
      </c>
      <c r="C415" s="1" t="s">
        <v>27</v>
      </c>
      <c r="D415">
        <v>3</v>
      </c>
      <c r="E415" s="1" t="s">
        <v>102</v>
      </c>
      <c r="F415" s="1" t="s">
        <v>1327</v>
      </c>
      <c r="G415">
        <v>0</v>
      </c>
      <c r="H415" s="1" t="s">
        <v>102</v>
      </c>
      <c r="I415">
        <v>119.12276765283654</v>
      </c>
      <c r="J415" s="1" t="s">
        <v>1290</v>
      </c>
      <c r="K415">
        <v>0</v>
      </c>
      <c r="L415">
        <v>19.109784661951874</v>
      </c>
      <c r="M415">
        <v>3600.741</v>
      </c>
      <c r="N415">
        <v>100.01298299088467</v>
      </c>
    </row>
    <row r="416" spans="1:14" hidden="1" x14ac:dyDescent="0.3">
      <c r="A416" s="1" t="s">
        <v>1349</v>
      </c>
      <c r="B416" s="1" t="s">
        <v>26</v>
      </c>
      <c r="C416" s="1" t="s">
        <v>27</v>
      </c>
      <c r="D416">
        <v>4</v>
      </c>
      <c r="E416" s="1" t="s">
        <v>102</v>
      </c>
      <c r="F416" s="1" t="s">
        <v>1350</v>
      </c>
      <c r="G416">
        <v>0</v>
      </c>
      <c r="H416" s="1" t="s">
        <v>102</v>
      </c>
      <c r="I416">
        <v>143.25457731680058</v>
      </c>
      <c r="J416" s="1" t="s">
        <v>1290</v>
      </c>
      <c r="K416">
        <v>0</v>
      </c>
      <c r="L416">
        <v>46.844800890362805</v>
      </c>
      <c r="M416">
        <v>3600.6689999999999</v>
      </c>
      <c r="N416">
        <v>96.409776426437773</v>
      </c>
    </row>
    <row r="417" spans="1:14" hidden="1" x14ac:dyDescent="0.3">
      <c r="A417" s="1" t="s">
        <v>451</v>
      </c>
      <c r="B417" s="1" t="s">
        <v>26</v>
      </c>
      <c r="C417" s="1" t="s">
        <v>27</v>
      </c>
      <c r="D417">
        <v>5</v>
      </c>
      <c r="E417" s="1" t="s">
        <v>17</v>
      </c>
      <c r="F417" s="1" t="s">
        <v>452</v>
      </c>
      <c r="G417">
        <v>0</v>
      </c>
      <c r="H417" s="1" t="s">
        <v>17</v>
      </c>
      <c r="I417">
        <v>163.40759993350167</v>
      </c>
      <c r="J417" s="1" t="s">
        <v>453</v>
      </c>
      <c r="K417">
        <v>0</v>
      </c>
      <c r="L417">
        <v>44.592973325206202</v>
      </c>
      <c r="M417">
        <v>3600.672</v>
      </c>
      <c r="N417">
        <v>118.81462660829548</v>
      </c>
    </row>
    <row r="418" spans="1:14" hidden="1" x14ac:dyDescent="0.3">
      <c r="A418" s="1" t="s">
        <v>185</v>
      </c>
      <c r="B418" s="1" t="s">
        <v>20</v>
      </c>
      <c r="C418" s="1" t="s">
        <v>19</v>
      </c>
      <c r="D418">
        <v>1</v>
      </c>
      <c r="E418" s="1" t="s">
        <v>16</v>
      </c>
      <c r="F418" s="1" t="s">
        <v>186</v>
      </c>
      <c r="G418">
        <v>0</v>
      </c>
      <c r="H418" s="1" t="s">
        <v>16</v>
      </c>
      <c r="I418">
        <v>225.10988662137976</v>
      </c>
      <c r="J418" s="1" t="s">
        <v>187</v>
      </c>
      <c r="K418">
        <v>0</v>
      </c>
      <c r="L418">
        <v>93.738686718265569</v>
      </c>
      <c r="M418">
        <v>3602.3449999999998</v>
      </c>
      <c r="N418">
        <v>131.37119990311419</v>
      </c>
    </row>
    <row r="419" spans="1:14" hidden="1" x14ac:dyDescent="0.3">
      <c r="A419" s="1" t="s">
        <v>197</v>
      </c>
      <c r="B419" s="1" t="s">
        <v>20</v>
      </c>
      <c r="C419" s="1" t="s">
        <v>19</v>
      </c>
      <c r="D419">
        <v>2</v>
      </c>
      <c r="E419" s="1" t="s">
        <v>16</v>
      </c>
      <c r="F419" s="1" t="s">
        <v>198</v>
      </c>
      <c r="G419">
        <v>0</v>
      </c>
      <c r="H419" s="1" t="s">
        <v>16</v>
      </c>
      <c r="I419">
        <v>238.98936419206723</v>
      </c>
      <c r="J419" s="1" t="s">
        <v>199</v>
      </c>
      <c r="K419">
        <v>0</v>
      </c>
      <c r="L419">
        <v>88.621475447711688</v>
      </c>
      <c r="M419">
        <v>3601.4760000000001</v>
      </c>
      <c r="N419">
        <v>150.36788874435553</v>
      </c>
    </row>
    <row r="420" spans="1:14" hidden="1" x14ac:dyDescent="0.3">
      <c r="A420" s="1" t="s">
        <v>209</v>
      </c>
      <c r="B420" s="1" t="s">
        <v>20</v>
      </c>
      <c r="C420" s="1" t="s">
        <v>19</v>
      </c>
      <c r="D420">
        <v>3</v>
      </c>
      <c r="E420" s="1" t="s">
        <v>16</v>
      </c>
      <c r="F420" s="1" t="s">
        <v>210</v>
      </c>
      <c r="G420">
        <v>0</v>
      </c>
      <c r="H420" s="1" t="s">
        <v>16</v>
      </c>
      <c r="I420">
        <v>123.24506749593867</v>
      </c>
      <c r="J420" s="1" t="s">
        <v>211</v>
      </c>
      <c r="K420">
        <v>0</v>
      </c>
      <c r="L420">
        <v>17.673693864406445</v>
      </c>
      <c r="M420">
        <v>3600.4070000000002</v>
      </c>
      <c r="N420">
        <v>105.57137363153223</v>
      </c>
    </row>
    <row r="421" spans="1:14" hidden="1" x14ac:dyDescent="0.3">
      <c r="A421" s="1" t="s">
        <v>188</v>
      </c>
      <c r="B421" s="1" t="s">
        <v>20</v>
      </c>
      <c r="C421" s="1" t="s">
        <v>19</v>
      </c>
      <c r="D421">
        <v>1</v>
      </c>
      <c r="E421" s="1" t="s">
        <v>17</v>
      </c>
      <c r="F421" s="1" t="s">
        <v>189</v>
      </c>
      <c r="G421">
        <v>0</v>
      </c>
      <c r="H421" s="1" t="s">
        <v>17</v>
      </c>
      <c r="I421">
        <v>236.92127413431751</v>
      </c>
      <c r="J421" s="1" t="s">
        <v>190</v>
      </c>
      <c r="K421">
        <v>0</v>
      </c>
      <c r="L421">
        <v>105.41080321669176</v>
      </c>
      <c r="M421">
        <v>3601.8090000000002</v>
      </c>
      <c r="N421">
        <v>131.51047091762575</v>
      </c>
    </row>
    <row r="422" spans="1:14" hidden="1" x14ac:dyDescent="0.3">
      <c r="A422" s="1" t="s">
        <v>220</v>
      </c>
      <c r="B422" s="1" t="s">
        <v>20</v>
      </c>
      <c r="C422" s="1" t="s">
        <v>19</v>
      </c>
      <c r="D422">
        <v>4</v>
      </c>
      <c r="E422" s="1" t="s">
        <v>16</v>
      </c>
      <c r="F422" s="1" t="s">
        <v>221</v>
      </c>
      <c r="G422">
        <v>0</v>
      </c>
      <c r="H422" s="1" t="s">
        <v>16</v>
      </c>
      <c r="I422">
        <v>127.98914761587699</v>
      </c>
      <c r="J422" s="1" t="s">
        <v>222</v>
      </c>
      <c r="K422">
        <v>0</v>
      </c>
      <c r="L422">
        <v>20.820988994154483</v>
      </c>
      <c r="M422">
        <v>3600.2559999999999</v>
      </c>
      <c r="N422">
        <v>107.16815862172251</v>
      </c>
    </row>
    <row r="423" spans="1:14" hidden="1" x14ac:dyDescent="0.3">
      <c r="A423" s="1" t="s">
        <v>200</v>
      </c>
      <c r="B423" s="1" t="s">
        <v>20</v>
      </c>
      <c r="C423" s="1" t="s">
        <v>19</v>
      </c>
      <c r="D423">
        <v>2</v>
      </c>
      <c r="E423" s="1" t="s">
        <v>17</v>
      </c>
      <c r="F423" s="1" t="s">
        <v>201</v>
      </c>
      <c r="G423">
        <v>0</v>
      </c>
      <c r="H423" s="1" t="s">
        <v>17</v>
      </c>
      <c r="I423">
        <v>241.10929739884776</v>
      </c>
      <c r="J423" s="1" t="s">
        <v>202</v>
      </c>
      <c r="K423">
        <v>0</v>
      </c>
      <c r="L423">
        <v>91.116372326059548</v>
      </c>
      <c r="M423">
        <v>3600.9349999999999</v>
      </c>
      <c r="N423">
        <v>149.99292507278821</v>
      </c>
    </row>
    <row r="424" spans="1:14" hidden="1" x14ac:dyDescent="0.3">
      <c r="A424" s="1" t="s">
        <v>212</v>
      </c>
      <c r="B424" s="1" t="s">
        <v>20</v>
      </c>
      <c r="C424" s="1" t="s">
        <v>19</v>
      </c>
      <c r="D424">
        <v>3</v>
      </c>
      <c r="E424" s="1" t="s">
        <v>17</v>
      </c>
      <c r="F424" s="1" t="s">
        <v>213</v>
      </c>
      <c r="G424">
        <v>0</v>
      </c>
      <c r="H424" s="1" t="s">
        <v>17</v>
      </c>
      <c r="I424">
        <v>123.11756293151566</v>
      </c>
      <c r="J424" s="1" t="s">
        <v>214</v>
      </c>
      <c r="K424">
        <v>0</v>
      </c>
      <c r="L424">
        <v>18.178957802442522</v>
      </c>
      <c r="M424">
        <v>3600.68</v>
      </c>
      <c r="N424">
        <v>104.93860512907314</v>
      </c>
    </row>
    <row r="425" spans="1:14" hidden="1" x14ac:dyDescent="0.3">
      <c r="A425" s="1" t="s">
        <v>1368</v>
      </c>
      <c r="B425" s="1" t="s">
        <v>26</v>
      </c>
      <c r="C425" s="1" t="s">
        <v>27</v>
      </c>
      <c r="D425">
        <v>5</v>
      </c>
      <c r="E425" s="1" t="s">
        <v>102</v>
      </c>
      <c r="F425" s="1" t="s">
        <v>1369</v>
      </c>
      <c r="G425">
        <v>0</v>
      </c>
      <c r="H425" s="1" t="s">
        <v>102</v>
      </c>
      <c r="I425">
        <v>166.16278346969997</v>
      </c>
      <c r="J425" s="1" t="s">
        <v>968</v>
      </c>
      <c r="K425">
        <v>0</v>
      </c>
      <c r="L425">
        <v>48.508832827236141</v>
      </c>
      <c r="M425">
        <v>3600.7440000000001</v>
      </c>
      <c r="N425">
        <v>117.65395064246383</v>
      </c>
    </row>
    <row r="426" spans="1:14" hidden="1" x14ac:dyDescent="0.3">
      <c r="A426" s="1" t="s">
        <v>966</v>
      </c>
      <c r="B426" s="1" t="s">
        <v>20</v>
      </c>
      <c r="C426" s="1" t="s">
        <v>19</v>
      </c>
      <c r="D426">
        <v>1</v>
      </c>
      <c r="E426" s="1" t="s">
        <v>102</v>
      </c>
      <c r="F426" s="1" t="s">
        <v>967</v>
      </c>
      <c r="G426">
        <v>0</v>
      </c>
      <c r="H426" s="1" t="s">
        <v>102</v>
      </c>
      <c r="I426">
        <v>239.70197628496243</v>
      </c>
      <c r="J426" s="1" t="s">
        <v>968</v>
      </c>
      <c r="K426">
        <v>0</v>
      </c>
      <c r="L426">
        <v>111.44299661635517</v>
      </c>
      <c r="M426">
        <v>3600.7280000000001</v>
      </c>
      <c r="N426">
        <v>128.25897966860725</v>
      </c>
    </row>
    <row r="427" spans="1:14" hidden="1" x14ac:dyDescent="0.3">
      <c r="A427" s="1" t="s">
        <v>981</v>
      </c>
      <c r="B427" s="1" t="s">
        <v>20</v>
      </c>
      <c r="C427" s="1" t="s">
        <v>19</v>
      </c>
      <c r="D427">
        <v>2</v>
      </c>
      <c r="E427" s="1" t="s">
        <v>102</v>
      </c>
      <c r="F427" s="1" t="s">
        <v>982</v>
      </c>
      <c r="G427">
        <v>0</v>
      </c>
      <c r="H427" s="1" t="s">
        <v>102</v>
      </c>
      <c r="I427">
        <v>244.95033452483023</v>
      </c>
      <c r="J427" s="1" t="s">
        <v>968</v>
      </c>
      <c r="K427">
        <v>0</v>
      </c>
      <c r="L427">
        <v>99.700373994508894</v>
      </c>
      <c r="M427">
        <v>3600.8</v>
      </c>
      <c r="N427">
        <v>145.24996053032132</v>
      </c>
    </row>
    <row r="428" spans="1:14" hidden="1" x14ac:dyDescent="0.3">
      <c r="A428" s="1" t="s">
        <v>997</v>
      </c>
      <c r="B428" s="1" t="s">
        <v>20</v>
      </c>
      <c r="C428" s="1" t="s">
        <v>19</v>
      </c>
      <c r="D428">
        <v>3</v>
      </c>
      <c r="E428" s="1" t="s">
        <v>102</v>
      </c>
      <c r="F428" s="1" t="s">
        <v>998</v>
      </c>
      <c r="G428">
        <v>0</v>
      </c>
      <c r="H428" s="1" t="s">
        <v>102</v>
      </c>
      <c r="I428">
        <v>134.10764591101454</v>
      </c>
      <c r="J428" s="1" t="s">
        <v>968</v>
      </c>
      <c r="K428">
        <v>0</v>
      </c>
      <c r="L428">
        <v>23.405652032670794</v>
      </c>
      <c r="M428">
        <v>3600.7280000000001</v>
      </c>
      <c r="N428">
        <v>110.70199387834376</v>
      </c>
    </row>
    <row r="429" spans="1:14" hidden="1" x14ac:dyDescent="0.3">
      <c r="A429" s="1" t="s">
        <v>223</v>
      </c>
      <c r="B429" s="1" t="s">
        <v>20</v>
      </c>
      <c r="C429" s="1" t="s">
        <v>19</v>
      </c>
      <c r="D429">
        <v>4</v>
      </c>
      <c r="E429" s="1" t="s">
        <v>17</v>
      </c>
      <c r="F429" s="1" t="s">
        <v>224</v>
      </c>
      <c r="G429">
        <v>0</v>
      </c>
      <c r="H429" s="1" t="s">
        <v>17</v>
      </c>
      <c r="I429">
        <v>128.742257434697</v>
      </c>
      <c r="J429" s="1" t="s">
        <v>225</v>
      </c>
      <c r="K429">
        <v>0</v>
      </c>
      <c r="L429">
        <v>20.820988994154483</v>
      </c>
      <c r="M429">
        <v>3600.1419999999998</v>
      </c>
      <c r="N429">
        <v>107.92126844054252</v>
      </c>
    </row>
    <row r="430" spans="1:14" hidden="1" x14ac:dyDescent="0.3">
      <c r="A430" s="1" t="s">
        <v>232</v>
      </c>
      <c r="B430" s="1" t="s">
        <v>20</v>
      </c>
      <c r="C430" s="1" t="s">
        <v>19</v>
      </c>
      <c r="D430">
        <v>5</v>
      </c>
      <c r="E430" s="1" t="s">
        <v>16</v>
      </c>
      <c r="F430" s="1" t="s">
        <v>233</v>
      </c>
      <c r="G430">
        <v>0</v>
      </c>
      <c r="H430" s="1" t="s">
        <v>16</v>
      </c>
      <c r="I430">
        <v>216.13564150369564</v>
      </c>
      <c r="J430" s="1" t="s">
        <v>234</v>
      </c>
      <c r="K430">
        <v>0</v>
      </c>
      <c r="L430">
        <v>64.148326247321961</v>
      </c>
      <c r="M430">
        <v>3600.8249999999998</v>
      </c>
      <c r="N430">
        <v>151.98731525637368</v>
      </c>
    </row>
    <row r="431" spans="1:14" hidden="1" x14ac:dyDescent="0.3">
      <c r="A431" s="1" t="s">
        <v>355</v>
      </c>
      <c r="B431" s="1" t="s">
        <v>25</v>
      </c>
      <c r="C431" s="1" t="s">
        <v>24</v>
      </c>
      <c r="D431">
        <v>1</v>
      </c>
      <c r="E431" s="1" t="s">
        <v>16</v>
      </c>
      <c r="F431" s="1" t="s">
        <v>356</v>
      </c>
      <c r="G431">
        <v>0</v>
      </c>
      <c r="H431" s="1" t="s">
        <v>16</v>
      </c>
      <c r="I431">
        <v>525.2524278292135</v>
      </c>
      <c r="J431" s="1" t="s">
        <v>357</v>
      </c>
      <c r="K431">
        <v>0</v>
      </c>
      <c r="L431">
        <v>110.61032531565033</v>
      </c>
      <c r="M431">
        <v>3600.2510000000002</v>
      </c>
      <c r="N431">
        <v>414.6421025135632</v>
      </c>
    </row>
    <row r="432" spans="1:14" hidden="1" x14ac:dyDescent="0.3">
      <c r="A432" s="1" t="s">
        <v>364</v>
      </c>
      <c r="B432" s="1" t="s">
        <v>25</v>
      </c>
      <c r="C432" s="1" t="s">
        <v>24</v>
      </c>
      <c r="D432">
        <v>2</v>
      </c>
      <c r="E432" s="1" t="s">
        <v>16</v>
      </c>
      <c r="F432" s="1" t="s">
        <v>365</v>
      </c>
      <c r="G432">
        <v>0</v>
      </c>
      <c r="H432" s="1" t="s">
        <v>16</v>
      </c>
      <c r="I432">
        <v>630.57472931700363</v>
      </c>
      <c r="J432" s="1" t="s">
        <v>366</v>
      </c>
      <c r="K432">
        <v>0</v>
      </c>
      <c r="L432">
        <v>214.74449405399639</v>
      </c>
      <c r="M432">
        <v>3600.527</v>
      </c>
      <c r="N432">
        <v>415.83023526300724</v>
      </c>
    </row>
    <row r="433" spans="1:14" hidden="1" x14ac:dyDescent="0.3">
      <c r="A433" s="1" t="s">
        <v>235</v>
      </c>
      <c r="B433" s="1" t="s">
        <v>20</v>
      </c>
      <c r="C433" s="1" t="s">
        <v>19</v>
      </c>
      <c r="D433">
        <v>5</v>
      </c>
      <c r="E433" s="1" t="s">
        <v>17</v>
      </c>
      <c r="F433" s="1" t="s">
        <v>236</v>
      </c>
      <c r="G433">
        <v>0</v>
      </c>
      <c r="H433" s="1" t="s">
        <v>17</v>
      </c>
      <c r="I433">
        <v>216.38221847062465</v>
      </c>
      <c r="J433" s="1" t="s">
        <v>237</v>
      </c>
      <c r="K433">
        <v>0</v>
      </c>
      <c r="L433">
        <v>64.148326247321961</v>
      </c>
      <c r="M433">
        <v>3602.123</v>
      </c>
      <c r="N433">
        <v>152.23389222330269</v>
      </c>
    </row>
    <row r="434" spans="1:14" hidden="1" x14ac:dyDescent="0.3">
      <c r="A434" s="1" t="s">
        <v>373</v>
      </c>
      <c r="B434" s="1" t="s">
        <v>25</v>
      </c>
      <c r="C434" s="1" t="s">
        <v>24</v>
      </c>
      <c r="D434">
        <v>3</v>
      </c>
      <c r="E434" s="1" t="s">
        <v>16</v>
      </c>
      <c r="F434" s="1" t="s">
        <v>374</v>
      </c>
      <c r="G434">
        <v>0</v>
      </c>
      <c r="H434" s="1" t="s">
        <v>16</v>
      </c>
      <c r="I434">
        <v>469.27501128934068</v>
      </c>
      <c r="J434" s="1" t="s">
        <v>375</v>
      </c>
      <c r="K434">
        <v>0</v>
      </c>
      <c r="L434">
        <v>68.779632199832463</v>
      </c>
      <c r="M434">
        <v>3601.2370000000001</v>
      </c>
      <c r="N434">
        <v>400.49537908950822</v>
      </c>
    </row>
    <row r="435" spans="1:14" hidden="1" x14ac:dyDescent="0.3">
      <c r="A435" s="1" t="s">
        <v>358</v>
      </c>
      <c r="B435" s="1" t="s">
        <v>25</v>
      </c>
      <c r="C435" s="1" t="s">
        <v>24</v>
      </c>
      <c r="D435">
        <v>1</v>
      </c>
      <c r="E435" s="1" t="s">
        <v>17</v>
      </c>
      <c r="F435" s="1" t="s">
        <v>359</v>
      </c>
      <c r="G435">
        <v>0</v>
      </c>
      <c r="H435" s="1" t="s">
        <v>17</v>
      </c>
      <c r="I435">
        <v>617.15626248967908</v>
      </c>
      <c r="J435" s="1" t="s">
        <v>360</v>
      </c>
      <c r="K435">
        <v>0</v>
      </c>
      <c r="L435">
        <v>200.9133205336569</v>
      </c>
      <c r="M435">
        <v>3600.951</v>
      </c>
      <c r="N435">
        <v>416.24294195602221</v>
      </c>
    </row>
    <row r="436" spans="1:14" hidden="1" x14ac:dyDescent="0.3">
      <c r="A436" s="1" t="s">
        <v>367</v>
      </c>
      <c r="B436" s="1" t="s">
        <v>25</v>
      </c>
      <c r="C436" s="1" t="s">
        <v>24</v>
      </c>
      <c r="D436">
        <v>2</v>
      </c>
      <c r="E436" s="1" t="s">
        <v>17</v>
      </c>
      <c r="F436" s="1" t="s">
        <v>368</v>
      </c>
      <c r="G436">
        <v>0</v>
      </c>
      <c r="H436" s="1" t="s">
        <v>17</v>
      </c>
      <c r="I436">
        <v>714.88367914656374</v>
      </c>
      <c r="J436" s="1" t="s">
        <v>369</v>
      </c>
      <c r="K436">
        <v>0</v>
      </c>
      <c r="L436">
        <v>287.44798943153717</v>
      </c>
      <c r="M436">
        <v>3607.0819999999999</v>
      </c>
      <c r="N436">
        <v>427.43568971502657</v>
      </c>
    </row>
    <row r="437" spans="1:14" hidden="1" x14ac:dyDescent="0.3">
      <c r="A437" s="1" t="s">
        <v>1011</v>
      </c>
      <c r="B437" s="1" t="s">
        <v>20</v>
      </c>
      <c r="C437" s="1" t="s">
        <v>19</v>
      </c>
      <c r="D437">
        <v>4</v>
      </c>
      <c r="E437" s="1" t="s">
        <v>102</v>
      </c>
      <c r="F437" s="1" t="s">
        <v>1012</v>
      </c>
      <c r="G437">
        <v>0</v>
      </c>
      <c r="H437" s="1" t="s">
        <v>102</v>
      </c>
      <c r="I437">
        <v>124.23205084780477</v>
      </c>
      <c r="J437" s="1" t="s">
        <v>1013</v>
      </c>
      <c r="K437">
        <v>0</v>
      </c>
      <c r="L437">
        <v>18.216060585617786</v>
      </c>
      <c r="M437">
        <v>3600.8969999999999</v>
      </c>
      <c r="N437">
        <v>106.01599026218699</v>
      </c>
    </row>
    <row r="438" spans="1:14" hidden="1" x14ac:dyDescent="0.3">
      <c r="A438" s="1" t="s">
        <v>1029</v>
      </c>
      <c r="B438" s="1" t="s">
        <v>20</v>
      </c>
      <c r="C438" s="1" t="s">
        <v>19</v>
      </c>
      <c r="D438">
        <v>5</v>
      </c>
      <c r="E438" s="1" t="s">
        <v>102</v>
      </c>
      <c r="F438" s="1" t="s">
        <v>1030</v>
      </c>
      <c r="G438">
        <v>0</v>
      </c>
      <c r="H438" s="1" t="s">
        <v>102</v>
      </c>
      <c r="I438">
        <v>225.3326016508812</v>
      </c>
      <c r="J438" s="1" t="s">
        <v>1013</v>
      </c>
      <c r="K438">
        <v>0</v>
      </c>
      <c r="L438">
        <v>67.025304255021524</v>
      </c>
      <c r="M438">
        <v>3601.203</v>
      </c>
      <c r="N438">
        <v>158.30729739585968</v>
      </c>
    </row>
    <row r="439" spans="1:14" hidden="1" x14ac:dyDescent="0.3">
      <c r="A439" s="1" t="s">
        <v>1204</v>
      </c>
      <c r="B439" s="1" t="s">
        <v>25</v>
      </c>
      <c r="C439" s="1" t="s">
        <v>24</v>
      </c>
      <c r="D439">
        <v>1</v>
      </c>
      <c r="E439" s="1" t="s">
        <v>102</v>
      </c>
      <c r="F439" s="1" t="s">
        <v>1205</v>
      </c>
      <c r="G439">
        <v>0</v>
      </c>
      <c r="H439" s="1" t="s">
        <v>102</v>
      </c>
      <c r="I439">
        <v>621.70100358240938</v>
      </c>
      <c r="J439" s="1" t="s">
        <v>1013</v>
      </c>
      <c r="K439">
        <v>0</v>
      </c>
      <c r="L439">
        <v>185.11379697724766</v>
      </c>
      <c r="M439">
        <v>3603.5039999999999</v>
      </c>
      <c r="N439">
        <v>436.58720660516178</v>
      </c>
    </row>
    <row r="440" spans="1:14" hidden="1" x14ac:dyDescent="0.3">
      <c r="A440" s="1" t="s">
        <v>1217</v>
      </c>
      <c r="B440" s="1" t="s">
        <v>25</v>
      </c>
      <c r="C440" s="1" t="s">
        <v>24</v>
      </c>
      <c r="D440">
        <v>2</v>
      </c>
      <c r="E440" s="1" t="s">
        <v>102</v>
      </c>
      <c r="F440" s="1" t="s">
        <v>1218</v>
      </c>
      <c r="G440">
        <v>0</v>
      </c>
      <c r="H440" s="1" t="s">
        <v>102</v>
      </c>
      <c r="I440">
        <v>804.03558249787784</v>
      </c>
      <c r="J440" s="1" t="s">
        <v>1013</v>
      </c>
      <c r="K440">
        <v>0</v>
      </c>
      <c r="L440">
        <v>366.28982496209443</v>
      </c>
      <c r="M440">
        <v>3603.86</v>
      </c>
      <c r="N440">
        <v>437.74575753578341</v>
      </c>
    </row>
    <row r="441" spans="1:14" hidden="1" x14ac:dyDescent="0.3">
      <c r="A441" s="1" t="s">
        <v>376</v>
      </c>
      <c r="B441" s="1" t="s">
        <v>25</v>
      </c>
      <c r="C441" s="1" t="s">
        <v>24</v>
      </c>
      <c r="D441">
        <v>3</v>
      </c>
      <c r="E441" s="1" t="s">
        <v>17</v>
      </c>
      <c r="F441" s="1" t="s">
        <v>377</v>
      </c>
      <c r="G441">
        <v>0</v>
      </c>
      <c r="H441" s="1" t="s">
        <v>17</v>
      </c>
      <c r="I441">
        <v>528.17197590094327</v>
      </c>
      <c r="J441" s="1" t="s">
        <v>378</v>
      </c>
      <c r="K441">
        <v>0</v>
      </c>
      <c r="L441">
        <v>125.65420143993923</v>
      </c>
      <c r="M441">
        <v>3601.277</v>
      </c>
      <c r="N441">
        <v>402.51777446100402</v>
      </c>
    </row>
    <row r="442" spans="1:14" hidden="1" x14ac:dyDescent="0.3">
      <c r="A442" s="1" t="s">
        <v>382</v>
      </c>
      <c r="B442" s="1" t="s">
        <v>25</v>
      </c>
      <c r="C442" s="1" t="s">
        <v>24</v>
      </c>
      <c r="D442">
        <v>4</v>
      </c>
      <c r="E442" s="1" t="s">
        <v>16</v>
      </c>
      <c r="F442" s="1" t="s">
        <v>383</v>
      </c>
      <c r="G442">
        <v>0</v>
      </c>
      <c r="H442" s="1" t="s">
        <v>16</v>
      </c>
      <c r="I442">
        <v>677.61251058916673</v>
      </c>
      <c r="J442" s="1" t="s">
        <v>384</v>
      </c>
      <c r="K442">
        <v>0</v>
      </c>
      <c r="L442">
        <v>247.61133148470131</v>
      </c>
      <c r="M442">
        <v>3600.9369999999999</v>
      </c>
      <c r="N442">
        <v>430.00117910446539</v>
      </c>
    </row>
    <row r="443" spans="1:14" hidden="1" x14ac:dyDescent="0.3">
      <c r="A443" s="1" t="s">
        <v>390</v>
      </c>
      <c r="B443" s="1" t="s">
        <v>25</v>
      </c>
      <c r="C443" s="1" t="s">
        <v>24</v>
      </c>
      <c r="D443">
        <v>5</v>
      </c>
      <c r="E443" s="1" t="s">
        <v>16</v>
      </c>
      <c r="F443" s="1" t="s">
        <v>391</v>
      </c>
      <c r="G443">
        <v>0</v>
      </c>
      <c r="H443" s="1" t="s">
        <v>16</v>
      </c>
      <c r="I443">
        <v>533.85078008975802</v>
      </c>
      <c r="J443" s="1" t="s">
        <v>392</v>
      </c>
      <c r="K443">
        <v>0</v>
      </c>
      <c r="L443">
        <v>130.64889920346448</v>
      </c>
      <c r="M443">
        <v>3606.3710000000001</v>
      </c>
      <c r="N443">
        <v>403.20188088629351</v>
      </c>
    </row>
    <row r="444" spans="1:14" hidden="1" x14ac:dyDescent="0.3">
      <c r="A444" s="1" t="s">
        <v>456</v>
      </c>
      <c r="B444" s="1" t="s">
        <v>28</v>
      </c>
      <c r="C444" s="1" t="s">
        <v>29</v>
      </c>
      <c r="D444">
        <v>1</v>
      </c>
      <c r="E444" s="1" t="s">
        <v>16</v>
      </c>
      <c r="F444" s="1" t="s">
        <v>457</v>
      </c>
      <c r="G444">
        <v>0</v>
      </c>
      <c r="H444" s="1" t="s">
        <v>16</v>
      </c>
      <c r="I444">
        <v>1208.5581307509215</v>
      </c>
      <c r="J444" s="1" t="s">
        <v>458</v>
      </c>
      <c r="K444">
        <v>0</v>
      </c>
      <c r="L444">
        <v>451.7093195875085</v>
      </c>
      <c r="M444">
        <v>3602.0920000000001</v>
      </c>
      <c r="N444">
        <v>756.84881116341307</v>
      </c>
    </row>
    <row r="445" spans="1:14" hidden="1" x14ac:dyDescent="0.3">
      <c r="A445" s="1" t="s">
        <v>385</v>
      </c>
      <c r="B445" s="1" t="s">
        <v>25</v>
      </c>
      <c r="C445" s="1" t="s">
        <v>24</v>
      </c>
      <c r="D445">
        <v>4</v>
      </c>
      <c r="E445" s="1" t="s">
        <v>17</v>
      </c>
      <c r="F445" s="1" t="s">
        <v>386</v>
      </c>
      <c r="G445">
        <v>0</v>
      </c>
      <c r="H445" s="1" t="s">
        <v>17</v>
      </c>
      <c r="I445">
        <v>751.40585432762532</v>
      </c>
      <c r="J445" s="1" t="s">
        <v>387</v>
      </c>
      <c r="K445">
        <v>0</v>
      </c>
      <c r="L445">
        <v>315.16127773084105</v>
      </c>
      <c r="M445">
        <v>3612.9830000000002</v>
      </c>
      <c r="N445">
        <v>436.24457659678427</v>
      </c>
    </row>
    <row r="446" spans="1:14" hidden="1" x14ac:dyDescent="0.3">
      <c r="A446" s="1" t="s">
        <v>464</v>
      </c>
      <c r="B446" s="1" t="s">
        <v>28</v>
      </c>
      <c r="C446" s="1" t="s">
        <v>29</v>
      </c>
      <c r="D446">
        <v>2</v>
      </c>
      <c r="E446" s="1" t="s">
        <v>16</v>
      </c>
      <c r="F446" s="1" t="s">
        <v>465</v>
      </c>
      <c r="G446">
        <v>0</v>
      </c>
      <c r="H446" s="1" t="s">
        <v>16</v>
      </c>
      <c r="I446">
        <v>1186.7271707572488</v>
      </c>
      <c r="J446" s="1" t="s">
        <v>466</v>
      </c>
      <c r="K446">
        <v>0</v>
      </c>
      <c r="L446">
        <v>422.09401156014553</v>
      </c>
      <c r="M446">
        <v>3601.462</v>
      </c>
      <c r="N446">
        <v>764.63315919710328</v>
      </c>
    </row>
    <row r="447" spans="1:14" hidden="1" x14ac:dyDescent="0.3">
      <c r="A447" s="1" t="s">
        <v>393</v>
      </c>
      <c r="B447" s="1" t="s">
        <v>25</v>
      </c>
      <c r="C447" s="1" t="s">
        <v>24</v>
      </c>
      <c r="D447">
        <v>5</v>
      </c>
      <c r="E447" s="1" t="s">
        <v>17</v>
      </c>
      <c r="F447" s="1" t="s">
        <v>394</v>
      </c>
      <c r="G447">
        <v>0</v>
      </c>
      <c r="H447" s="1" t="s">
        <v>17</v>
      </c>
      <c r="I447">
        <v>601.77079650144526</v>
      </c>
      <c r="J447" s="1" t="s">
        <v>395</v>
      </c>
      <c r="K447">
        <v>0</v>
      </c>
      <c r="L447">
        <v>198.69954684123769</v>
      </c>
      <c r="M447">
        <v>3601.739</v>
      </c>
      <c r="N447">
        <v>403.07124966020757</v>
      </c>
    </row>
    <row r="448" spans="1:14" hidden="1" x14ac:dyDescent="0.3">
      <c r="A448" s="1" t="s">
        <v>459</v>
      </c>
      <c r="B448" s="1" t="s">
        <v>28</v>
      </c>
      <c r="C448" s="1" t="s">
        <v>29</v>
      </c>
      <c r="D448">
        <v>1</v>
      </c>
      <c r="E448" s="1" t="s">
        <v>17</v>
      </c>
      <c r="F448" s="1" t="s">
        <v>460</v>
      </c>
      <c r="G448">
        <v>0</v>
      </c>
      <c r="H448" s="1" t="s">
        <v>17</v>
      </c>
      <c r="I448">
        <v>1208.5581307509215</v>
      </c>
      <c r="J448" s="1" t="s">
        <v>461</v>
      </c>
      <c r="K448">
        <v>0</v>
      </c>
      <c r="L448">
        <v>451.7093195875085</v>
      </c>
      <c r="M448">
        <v>3601.0349999999999</v>
      </c>
      <c r="N448">
        <v>756.84881116341307</v>
      </c>
    </row>
    <row r="449" spans="1:14" hidden="1" x14ac:dyDescent="0.3">
      <c r="A449" s="1" t="s">
        <v>1231</v>
      </c>
      <c r="B449" s="1" t="s">
        <v>25</v>
      </c>
      <c r="C449" s="1" t="s">
        <v>24</v>
      </c>
      <c r="D449">
        <v>3</v>
      </c>
      <c r="E449" s="1" t="s">
        <v>102</v>
      </c>
      <c r="F449" s="1" t="s">
        <v>1232</v>
      </c>
      <c r="G449">
        <v>0</v>
      </c>
      <c r="H449" s="1" t="s">
        <v>102</v>
      </c>
      <c r="I449">
        <v>520.91381225158966</v>
      </c>
      <c r="J449" s="1" t="s">
        <v>1233</v>
      </c>
      <c r="K449">
        <v>0</v>
      </c>
      <c r="L449">
        <v>112.84505977424973</v>
      </c>
      <c r="M449">
        <v>3601.97</v>
      </c>
      <c r="N449">
        <v>408.0687524773399</v>
      </c>
    </row>
    <row r="450" spans="1:14" hidden="1" x14ac:dyDescent="0.3">
      <c r="A450" s="1" t="s">
        <v>1251</v>
      </c>
      <c r="B450" s="1" t="s">
        <v>25</v>
      </c>
      <c r="C450" s="1" t="s">
        <v>24</v>
      </c>
      <c r="D450">
        <v>4</v>
      </c>
      <c r="E450" s="1" t="s">
        <v>102</v>
      </c>
      <c r="F450" s="1" t="s">
        <v>1252</v>
      </c>
      <c r="G450">
        <v>0</v>
      </c>
      <c r="H450" s="1" t="s">
        <v>102</v>
      </c>
      <c r="I450">
        <v>782.61628815118343</v>
      </c>
      <c r="J450" s="1" t="s">
        <v>1253</v>
      </c>
      <c r="K450">
        <v>0</v>
      </c>
      <c r="L450">
        <v>347.45971321340971</v>
      </c>
      <c r="M450">
        <v>3604.942</v>
      </c>
      <c r="N450">
        <v>435.15657493777366</v>
      </c>
    </row>
    <row r="451" spans="1:14" hidden="1" x14ac:dyDescent="0.3">
      <c r="A451" s="1" t="s">
        <v>1265</v>
      </c>
      <c r="B451" s="1" t="s">
        <v>25</v>
      </c>
      <c r="C451" s="1" t="s">
        <v>24</v>
      </c>
      <c r="D451">
        <v>5</v>
      </c>
      <c r="E451" s="1" t="s">
        <v>102</v>
      </c>
      <c r="F451" s="1" t="s">
        <v>1266</v>
      </c>
      <c r="G451">
        <v>0</v>
      </c>
      <c r="H451" s="1" t="s">
        <v>102</v>
      </c>
      <c r="I451">
        <v>630.54038564880807</v>
      </c>
      <c r="J451" s="1" t="s">
        <v>1267</v>
      </c>
      <c r="K451">
        <v>0</v>
      </c>
      <c r="L451">
        <v>225.88327832127726</v>
      </c>
      <c r="M451">
        <v>3604.0360000000001</v>
      </c>
      <c r="N451">
        <v>404.65710732753081</v>
      </c>
    </row>
    <row r="452" spans="1:14" hidden="1" x14ac:dyDescent="0.3">
      <c r="A452" s="1" t="s">
        <v>1383</v>
      </c>
      <c r="B452" s="1" t="s">
        <v>28</v>
      </c>
      <c r="C452" s="1" t="s">
        <v>29</v>
      </c>
      <c r="D452">
        <v>1</v>
      </c>
      <c r="E452" s="1" t="s">
        <v>102</v>
      </c>
      <c r="F452" s="1" t="s">
        <v>1384</v>
      </c>
      <c r="G452">
        <v>0</v>
      </c>
      <c r="H452" s="1" t="s">
        <v>102</v>
      </c>
      <c r="I452">
        <v>1208.5581307509215</v>
      </c>
      <c r="J452" s="1" t="s">
        <v>1385</v>
      </c>
      <c r="K452">
        <v>0</v>
      </c>
      <c r="L452">
        <v>451.7093195875085</v>
      </c>
      <c r="M452">
        <v>3600.8380000000002</v>
      </c>
      <c r="N452">
        <v>756.84881116341307</v>
      </c>
    </row>
    <row r="453" spans="1:14" hidden="1" x14ac:dyDescent="0.3">
      <c r="A453" s="1" t="s">
        <v>467</v>
      </c>
      <c r="B453" s="1" t="s">
        <v>28</v>
      </c>
      <c r="C453" s="1" t="s">
        <v>29</v>
      </c>
      <c r="D453">
        <v>2</v>
      </c>
      <c r="E453" s="1" t="s">
        <v>17</v>
      </c>
      <c r="F453" s="1" t="s">
        <v>468</v>
      </c>
      <c r="G453">
        <v>0</v>
      </c>
      <c r="H453" s="1" t="s">
        <v>17</v>
      </c>
      <c r="I453">
        <v>1343.8725247922441</v>
      </c>
      <c r="J453" s="1" t="s">
        <v>469</v>
      </c>
      <c r="K453">
        <v>0</v>
      </c>
      <c r="L453">
        <v>573.13023212057806</v>
      </c>
      <c r="M453">
        <v>3660.9349999999999</v>
      </c>
      <c r="N453">
        <v>770.74229267166606</v>
      </c>
    </row>
    <row r="454" spans="1:14" hidden="1" x14ac:dyDescent="0.3">
      <c r="A454" s="1" t="s">
        <v>473</v>
      </c>
      <c r="B454" s="1" t="s">
        <v>28</v>
      </c>
      <c r="C454" s="1" t="s">
        <v>29</v>
      </c>
      <c r="D454">
        <v>3</v>
      </c>
      <c r="E454" s="1" t="s">
        <v>16</v>
      </c>
      <c r="F454" s="1" t="s">
        <v>474</v>
      </c>
      <c r="G454">
        <v>0</v>
      </c>
      <c r="H454" s="1" t="s">
        <v>16</v>
      </c>
      <c r="I454">
        <v>1031.6821416486048</v>
      </c>
      <c r="J454" s="1" t="s">
        <v>475</v>
      </c>
      <c r="K454">
        <v>0</v>
      </c>
      <c r="L454">
        <v>294.90572944534955</v>
      </c>
      <c r="M454">
        <v>3601.6889999999999</v>
      </c>
      <c r="N454">
        <v>736.77641220325529</v>
      </c>
    </row>
    <row r="455" spans="1:14" hidden="1" x14ac:dyDescent="0.3">
      <c r="A455" s="1" t="s">
        <v>481</v>
      </c>
      <c r="B455" s="1" t="s">
        <v>28</v>
      </c>
      <c r="C455" s="1" t="s">
        <v>29</v>
      </c>
      <c r="D455">
        <v>4</v>
      </c>
      <c r="E455" s="1" t="s">
        <v>16</v>
      </c>
      <c r="F455" s="1" t="s">
        <v>482</v>
      </c>
      <c r="G455">
        <v>0</v>
      </c>
      <c r="H455" s="1" t="s">
        <v>16</v>
      </c>
      <c r="I455">
        <v>1103.9327734666153</v>
      </c>
      <c r="J455" s="1" t="s">
        <v>483</v>
      </c>
      <c r="K455">
        <v>0</v>
      </c>
      <c r="L455">
        <v>332.9269320337151</v>
      </c>
      <c r="M455">
        <v>3600.875</v>
      </c>
      <c r="N455">
        <v>771.0058414329003</v>
      </c>
    </row>
    <row r="456" spans="1:14" hidden="1" x14ac:dyDescent="0.3">
      <c r="A456" s="1" t="s">
        <v>490</v>
      </c>
      <c r="B456" s="1" t="s">
        <v>28</v>
      </c>
      <c r="C456" s="1" t="s">
        <v>29</v>
      </c>
      <c r="D456">
        <v>5</v>
      </c>
      <c r="E456" s="1" t="s">
        <v>16</v>
      </c>
      <c r="F456" s="1" t="s">
        <v>491</v>
      </c>
      <c r="G456">
        <v>0</v>
      </c>
      <c r="H456" s="1" t="s">
        <v>16</v>
      </c>
      <c r="I456">
        <v>1192.9265569658357</v>
      </c>
      <c r="J456" s="1" t="s">
        <v>492</v>
      </c>
      <c r="K456">
        <v>0</v>
      </c>
      <c r="L456">
        <v>416.4407152299986</v>
      </c>
      <c r="M456">
        <v>3602.0509999999999</v>
      </c>
      <c r="N456">
        <v>776.4858417358372</v>
      </c>
    </row>
    <row r="457" spans="1:14" hidden="1" x14ac:dyDescent="0.3">
      <c r="A457" s="1" t="s">
        <v>476</v>
      </c>
      <c r="B457" s="1" t="s">
        <v>28</v>
      </c>
      <c r="C457" s="1" t="s">
        <v>29</v>
      </c>
      <c r="D457">
        <v>3</v>
      </c>
      <c r="E457" s="1" t="s">
        <v>17</v>
      </c>
      <c r="F457" s="1" t="s">
        <v>477</v>
      </c>
      <c r="G457">
        <v>0</v>
      </c>
      <c r="H457" s="1" t="s">
        <v>17</v>
      </c>
      <c r="I457">
        <v>1179.3138144186501</v>
      </c>
      <c r="J457" s="1" t="s">
        <v>478</v>
      </c>
      <c r="K457">
        <v>0</v>
      </c>
      <c r="L457">
        <v>444.05117073693992</v>
      </c>
      <c r="M457">
        <v>3600.8209999999999</v>
      </c>
      <c r="N457">
        <v>735.26264368171007</v>
      </c>
    </row>
    <row r="458" spans="1:14" hidden="1" x14ac:dyDescent="0.3">
      <c r="A458" s="1" t="s">
        <v>499</v>
      </c>
      <c r="B458" s="1" t="s">
        <v>30</v>
      </c>
      <c r="C458" s="1" t="s">
        <v>31</v>
      </c>
      <c r="D458">
        <v>1</v>
      </c>
      <c r="E458" s="1" t="s">
        <v>16</v>
      </c>
      <c r="F458" s="1" t="s">
        <v>500</v>
      </c>
      <c r="G458">
        <v>0</v>
      </c>
      <c r="H458" s="1" t="s">
        <v>16</v>
      </c>
      <c r="I458">
        <v>1811.8662396472282</v>
      </c>
      <c r="J458" s="1" t="s">
        <v>501</v>
      </c>
      <c r="K458">
        <v>0</v>
      </c>
      <c r="L458">
        <v>585.32380678855941</v>
      </c>
      <c r="M458">
        <v>3602.6869999999999</v>
      </c>
      <c r="N458">
        <v>1226.5424328586689</v>
      </c>
    </row>
    <row r="459" spans="1:14" hidden="1" x14ac:dyDescent="0.3">
      <c r="A459" s="1" t="s">
        <v>484</v>
      </c>
      <c r="B459" s="1" t="s">
        <v>28</v>
      </c>
      <c r="C459" s="1" t="s">
        <v>29</v>
      </c>
      <c r="D459">
        <v>4</v>
      </c>
      <c r="E459" s="1" t="s">
        <v>17</v>
      </c>
      <c r="F459" s="1" t="s">
        <v>485</v>
      </c>
      <c r="G459">
        <v>0</v>
      </c>
      <c r="H459" s="1" t="s">
        <v>17</v>
      </c>
      <c r="I459">
        <v>1204.6246490867941</v>
      </c>
      <c r="J459" s="1" t="s">
        <v>486</v>
      </c>
      <c r="K459">
        <v>0</v>
      </c>
      <c r="L459">
        <v>429.90740617538938</v>
      </c>
      <c r="M459">
        <v>3603.5540000000001</v>
      </c>
      <c r="N459">
        <v>774.7172429114047</v>
      </c>
    </row>
    <row r="460" spans="1:14" hidden="1" x14ac:dyDescent="0.3">
      <c r="A460" s="1" t="s">
        <v>493</v>
      </c>
      <c r="B460" s="1" t="s">
        <v>28</v>
      </c>
      <c r="C460" s="1" t="s">
        <v>29</v>
      </c>
      <c r="D460">
        <v>5</v>
      </c>
      <c r="E460" s="1" t="s">
        <v>17</v>
      </c>
      <c r="F460" s="1" t="s">
        <v>494</v>
      </c>
      <c r="G460">
        <v>0</v>
      </c>
      <c r="H460" s="1" t="s">
        <v>17</v>
      </c>
      <c r="I460">
        <v>1279.1086280841514</v>
      </c>
      <c r="J460" s="1" t="s">
        <v>495</v>
      </c>
      <c r="K460">
        <v>0</v>
      </c>
      <c r="L460">
        <v>499.18584771175557</v>
      </c>
      <c r="M460">
        <v>3608.819</v>
      </c>
      <c r="N460">
        <v>779.92278037239578</v>
      </c>
    </row>
    <row r="461" spans="1:14" hidden="1" x14ac:dyDescent="0.3">
      <c r="A461" s="1" t="s">
        <v>502</v>
      </c>
      <c r="B461" s="1" t="s">
        <v>30</v>
      </c>
      <c r="C461" s="1" t="s">
        <v>31</v>
      </c>
      <c r="D461">
        <v>1</v>
      </c>
      <c r="E461" s="1" t="s">
        <v>17</v>
      </c>
      <c r="F461" s="1" t="s">
        <v>503</v>
      </c>
      <c r="G461">
        <v>0</v>
      </c>
      <c r="H461" s="1" t="s">
        <v>17</v>
      </c>
      <c r="I461">
        <v>1876.6927050365066</v>
      </c>
      <c r="J461" s="1" t="s">
        <v>504</v>
      </c>
      <c r="K461">
        <v>0</v>
      </c>
      <c r="L461">
        <v>650.5432159590074</v>
      </c>
      <c r="M461">
        <v>3602.0929999999998</v>
      </c>
      <c r="N461">
        <v>1226.1494890774993</v>
      </c>
    </row>
    <row r="462" spans="1:14" hidden="1" x14ac:dyDescent="0.3">
      <c r="A462" s="1" t="s">
        <v>508</v>
      </c>
      <c r="B462" s="1" t="s">
        <v>30</v>
      </c>
      <c r="C462" s="1" t="s">
        <v>31</v>
      </c>
      <c r="D462">
        <v>2</v>
      </c>
      <c r="E462" s="1" t="s">
        <v>16</v>
      </c>
      <c r="F462" s="1" t="s">
        <v>509</v>
      </c>
      <c r="G462">
        <v>0</v>
      </c>
      <c r="H462" s="1" t="s">
        <v>16</v>
      </c>
      <c r="I462">
        <v>1699.0113713965643</v>
      </c>
      <c r="J462" s="1" t="s">
        <v>510</v>
      </c>
      <c r="K462">
        <v>0</v>
      </c>
      <c r="L462">
        <v>525.57622696197666</v>
      </c>
      <c r="M462">
        <v>3601.9459999999999</v>
      </c>
      <c r="N462">
        <v>1173.4351444345878</v>
      </c>
    </row>
    <row r="463" spans="1:14" hidden="1" x14ac:dyDescent="0.3">
      <c r="A463" s="1" t="s">
        <v>516</v>
      </c>
      <c r="B463" s="1" t="s">
        <v>30</v>
      </c>
      <c r="C463" s="1" t="s">
        <v>31</v>
      </c>
      <c r="D463">
        <v>3</v>
      </c>
      <c r="E463" s="1" t="s">
        <v>16</v>
      </c>
      <c r="F463" s="1" t="s">
        <v>517</v>
      </c>
      <c r="G463">
        <v>0</v>
      </c>
      <c r="H463" s="1" t="s">
        <v>16</v>
      </c>
      <c r="I463">
        <v>1697.601469307665</v>
      </c>
      <c r="J463" s="1" t="s">
        <v>518</v>
      </c>
      <c r="K463">
        <v>0</v>
      </c>
      <c r="L463">
        <v>481.8618854428737</v>
      </c>
      <c r="M463">
        <v>3602.098</v>
      </c>
      <c r="N463">
        <v>1215.7395838647913</v>
      </c>
    </row>
    <row r="464" spans="1:14" hidden="1" x14ac:dyDescent="0.3">
      <c r="A464" s="1" t="s">
        <v>525</v>
      </c>
      <c r="B464" s="1" t="s">
        <v>30</v>
      </c>
      <c r="C464" s="1" t="s">
        <v>31</v>
      </c>
      <c r="D464">
        <v>4</v>
      </c>
      <c r="E464" s="1" t="s">
        <v>16</v>
      </c>
      <c r="F464" s="1" t="s">
        <v>526</v>
      </c>
      <c r="G464">
        <v>0</v>
      </c>
      <c r="H464" s="1" t="s">
        <v>16</v>
      </c>
      <c r="I464">
        <v>1617.1771751392848</v>
      </c>
      <c r="J464" s="1" t="s">
        <v>527</v>
      </c>
      <c r="K464">
        <v>0</v>
      </c>
      <c r="L464">
        <v>486.42430964443713</v>
      </c>
      <c r="M464">
        <v>3602.1840000000002</v>
      </c>
      <c r="N464">
        <v>1130.7528654948476</v>
      </c>
    </row>
    <row r="465" spans="1:14" hidden="1" x14ac:dyDescent="0.3">
      <c r="A465" s="1" t="s">
        <v>511</v>
      </c>
      <c r="B465" s="1" t="s">
        <v>30</v>
      </c>
      <c r="C465" s="1" t="s">
        <v>31</v>
      </c>
      <c r="D465">
        <v>2</v>
      </c>
      <c r="E465" s="1" t="s">
        <v>17</v>
      </c>
      <c r="F465" s="1" t="s">
        <v>512</v>
      </c>
      <c r="G465">
        <v>0</v>
      </c>
      <c r="H465" s="1" t="s">
        <v>17</v>
      </c>
      <c r="I465">
        <v>1758.836151631021</v>
      </c>
      <c r="J465" s="1" t="s">
        <v>513</v>
      </c>
      <c r="K465">
        <v>0</v>
      </c>
      <c r="L465">
        <v>582.96978584227588</v>
      </c>
      <c r="M465">
        <v>3600.7829999999999</v>
      </c>
      <c r="N465">
        <v>1175.866365788745</v>
      </c>
    </row>
    <row r="466" spans="1:14" hidden="1" x14ac:dyDescent="0.3">
      <c r="A466" s="1" t="s">
        <v>534</v>
      </c>
      <c r="B466" s="1" t="s">
        <v>30</v>
      </c>
      <c r="C466" s="1" t="s">
        <v>31</v>
      </c>
      <c r="D466">
        <v>5</v>
      </c>
      <c r="E466" s="1" t="s">
        <v>16</v>
      </c>
      <c r="F466" s="1" t="s">
        <v>535</v>
      </c>
      <c r="G466">
        <v>0</v>
      </c>
      <c r="H466" s="1" t="s">
        <v>16</v>
      </c>
      <c r="I466">
        <v>1837.4136781124437</v>
      </c>
      <c r="J466" s="1" t="s">
        <v>536</v>
      </c>
      <c r="K466">
        <v>0</v>
      </c>
      <c r="L466">
        <v>640.76085550022003</v>
      </c>
      <c r="M466">
        <v>3602.0349999999999</v>
      </c>
      <c r="N466">
        <v>1196.6528226122236</v>
      </c>
    </row>
    <row r="467" spans="1:14" hidden="1" x14ac:dyDescent="0.3">
      <c r="A467" s="1" t="s">
        <v>519</v>
      </c>
      <c r="B467" s="1" t="s">
        <v>30</v>
      </c>
      <c r="C467" s="1" t="s">
        <v>31</v>
      </c>
      <c r="D467">
        <v>3</v>
      </c>
      <c r="E467" s="1" t="s">
        <v>17</v>
      </c>
      <c r="F467" s="1" t="s">
        <v>520</v>
      </c>
      <c r="G467">
        <v>0</v>
      </c>
      <c r="H467" s="1" t="s">
        <v>17</v>
      </c>
      <c r="I467">
        <v>1760.3597205377405</v>
      </c>
      <c r="J467" s="1" t="s">
        <v>521</v>
      </c>
      <c r="K467">
        <v>0</v>
      </c>
      <c r="L467">
        <v>543.13407963527402</v>
      </c>
      <c r="M467">
        <v>3601.886</v>
      </c>
      <c r="N467">
        <v>1217.2256409024665</v>
      </c>
    </row>
    <row r="468" spans="1:14" hidden="1" x14ac:dyDescent="0.3">
      <c r="A468" s="1" t="s">
        <v>528</v>
      </c>
      <c r="B468" s="1" t="s">
        <v>30</v>
      </c>
      <c r="C468" s="1" t="s">
        <v>31</v>
      </c>
      <c r="D468">
        <v>4</v>
      </c>
      <c r="E468" s="1" t="s">
        <v>17</v>
      </c>
      <c r="F468" s="1" t="s">
        <v>529</v>
      </c>
      <c r="G468">
        <v>0</v>
      </c>
      <c r="H468" s="1" t="s">
        <v>17</v>
      </c>
      <c r="I468">
        <v>1784.420821272503</v>
      </c>
      <c r="J468" s="1" t="s">
        <v>530</v>
      </c>
      <c r="K468">
        <v>0</v>
      </c>
      <c r="L468">
        <v>647.50574552491639</v>
      </c>
      <c r="M468">
        <v>3601.0909999999999</v>
      </c>
      <c r="N468">
        <v>1136.9150757475866</v>
      </c>
    </row>
    <row r="469" spans="1:14" hidden="1" x14ac:dyDescent="0.3">
      <c r="A469" s="1" t="s">
        <v>537</v>
      </c>
      <c r="B469" s="1" t="s">
        <v>30</v>
      </c>
      <c r="C469" s="1" t="s">
        <v>31</v>
      </c>
      <c r="D469">
        <v>5</v>
      </c>
      <c r="E469" s="1" t="s">
        <v>17</v>
      </c>
      <c r="F469" s="1" t="s">
        <v>538</v>
      </c>
      <c r="G469">
        <v>0</v>
      </c>
      <c r="H469" s="1" t="s">
        <v>17</v>
      </c>
      <c r="I469">
        <v>1910.9345525690005</v>
      </c>
      <c r="J469" s="1" t="s">
        <v>539</v>
      </c>
      <c r="K469">
        <v>0</v>
      </c>
      <c r="L469">
        <v>712.65109645537325</v>
      </c>
      <c r="M469">
        <v>3601.6149999999998</v>
      </c>
      <c r="N469">
        <v>1198.2834561136274</v>
      </c>
    </row>
    <row r="470" spans="1:14" hidden="1" x14ac:dyDescent="0.3">
      <c r="A470" s="1" t="s">
        <v>543</v>
      </c>
      <c r="B470" s="1" t="s">
        <v>32</v>
      </c>
      <c r="C470" s="1" t="s">
        <v>33</v>
      </c>
      <c r="D470">
        <v>1</v>
      </c>
      <c r="E470" s="1" t="s">
        <v>16</v>
      </c>
      <c r="F470" s="1" t="s">
        <v>544</v>
      </c>
      <c r="G470">
        <v>0</v>
      </c>
      <c r="H470" s="1" t="s">
        <v>16</v>
      </c>
      <c r="I470">
        <v>2530.4166491521605</v>
      </c>
      <c r="J470" s="1" t="s">
        <v>545</v>
      </c>
      <c r="K470">
        <v>0</v>
      </c>
      <c r="L470">
        <v>776.93505478320844</v>
      </c>
      <c r="M470">
        <v>3601.7660000000001</v>
      </c>
      <c r="N470">
        <v>1753.4815943689521</v>
      </c>
    </row>
    <row r="471" spans="1:14" hidden="1" x14ac:dyDescent="0.3">
      <c r="A471" s="1" t="s">
        <v>551</v>
      </c>
      <c r="B471" s="1" t="s">
        <v>32</v>
      </c>
      <c r="C471" s="1" t="s">
        <v>33</v>
      </c>
      <c r="D471">
        <v>2</v>
      </c>
      <c r="E471" s="1" t="s">
        <v>16</v>
      </c>
      <c r="F471" s="1" t="s">
        <v>552</v>
      </c>
      <c r="G471">
        <v>0</v>
      </c>
      <c r="H471" s="1" t="s">
        <v>16</v>
      </c>
      <c r="I471">
        <v>2444.015455984334</v>
      </c>
      <c r="J471" s="1" t="s">
        <v>553</v>
      </c>
      <c r="K471">
        <v>0</v>
      </c>
      <c r="L471">
        <v>783.67724228407519</v>
      </c>
      <c r="M471">
        <v>3602.328</v>
      </c>
      <c r="N471">
        <v>1660.3382137002591</v>
      </c>
    </row>
    <row r="472" spans="1:14" hidden="1" x14ac:dyDescent="0.3">
      <c r="A472" s="1" t="s">
        <v>560</v>
      </c>
      <c r="B472" s="1" t="s">
        <v>32</v>
      </c>
      <c r="C472" s="1" t="s">
        <v>33</v>
      </c>
      <c r="D472">
        <v>3</v>
      </c>
      <c r="E472" s="1" t="s">
        <v>16</v>
      </c>
      <c r="F472" s="1" t="s">
        <v>561</v>
      </c>
      <c r="G472">
        <v>0</v>
      </c>
      <c r="H472" s="1" t="s">
        <v>16</v>
      </c>
      <c r="I472">
        <v>2322.5820588080342</v>
      </c>
      <c r="J472" s="1" t="s">
        <v>562</v>
      </c>
      <c r="K472">
        <v>0</v>
      </c>
      <c r="L472">
        <v>563.89099362273907</v>
      </c>
      <c r="M472">
        <v>3669.4569999999999</v>
      </c>
      <c r="N472">
        <v>1758.6910651852952</v>
      </c>
    </row>
    <row r="473" spans="1:14" hidden="1" x14ac:dyDescent="0.3">
      <c r="A473" s="1" t="s">
        <v>546</v>
      </c>
      <c r="B473" s="1" t="s">
        <v>32</v>
      </c>
      <c r="C473" s="1" t="s">
        <v>33</v>
      </c>
      <c r="D473">
        <v>1</v>
      </c>
      <c r="E473" s="1" t="s">
        <v>17</v>
      </c>
      <c r="F473" s="1" t="s">
        <v>547</v>
      </c>
      <c r="G473">
        <v>0</v>
      </c>
      <c r="H473" s="1" t="s">
        <v>17</v>
      </c>
      <c r="I473">
        <v>2624.2877471526199</v>
      </c>
      <c r="J473" s="1" t="s">
        <v>548</v>
      </c>
      <c r="K473">
        <v>0</v>
      </c>
      <c r="L473">
        <v>870.83199884252815</v>
      </c>
      <c r="M473">
        <v>3601.87</v>
      </c>
      <c r="N473">
        <v>1753.4557483100916</v>
      </c>
    </row>
    <row r="474" spans="1:14" hidden="1" x14ac:dyDescent="0.3">
      <c r="A474" s="1" t="s">
        <v>569</v>
      </c>
      <c r="B474" s="1" t="s">
        <v>32</v>
      </c>
      <c r="C474" s="1" t="s">
        <v>33</v>
      </c>
      <c r="D474">
        <v>4</v>
      </c>
      <c r="E474" s="1" t="s">
        <v>16</v>
      </c>
      <c r="F474" s="1" t="s">
        <v>570</v>
      </c>
      <c r="G474">
        <v>0</v>
      </c>
      <c r="H474" s="1" t="s">
        <v>16</v>
      </c>
      <c r="I474">
        <v>2497.0165783656589</v>
      </c>
      <c r="J474" s="1" t="s">
        <v>571</v>
      </c>
      <c r="K474">
        <v>0</v>
      </c>
      <c r="L474">
        <v>803.81401835587087</v>
      </c>
      <c r="M474">
        <v>3602.1419999999998</v>
      </c>
      <c r="N474">
        <v>1693.2025600097879</v>
      </c>
    </row>
    <row r="475" spans="1:14" hidden="1" x14ac:dyDescent="0.3">
      <c r="A475" s="1" t="s">
        <v>554</v>
      </c>
      <c r="B475" s="1" t="s">
        <v>32</v>
      </c>
      <c r="C475" s="1" t="s">
        <v>33</v>
      </c>
      <c r="D475">
        <v>2</v>
      </c>
      <c r="E475" s="1" t="s">
        <v>17</v>
      </c>
      <c r="F475" s="1" t="s">
        <v>555</v>
      </c>
      <c r="G475">
        <v>0</v>
      </c>
      <c r="H475" s="1" t="s">
        <v>17</v>
      </c>
      <c r="I475">
        <v>2472.899430628936</v>
      </c>
      <c r="J475" s="1" t="s">
        <v>556</v>
      </c>
      <c r="K475">
        <v>0</v>
      </c>
      <c r="L475">
        <v>811.19851818700749</v>
      </c>
      <c r="M475">
        <v>3601.5239999999999</v>
      </c>
      <c r="N475">
        <v>1661.7009124419285</v>
      </c>
    </row>
    <row r="476" spans="1:14" hidden="1" x14ac:dyDescent="0.3">
      <c r="A476" s="1" t="s">
        <v>563</v>
      </c>
      <c r="B476" s="1" t="s">
        <v>32</v>
      </c>
      <c r="C476" s="1" t="s">
        <v>33</v>
      </c>
      <c r="D476">
        <v>3</v>
      </c>
      <c r="E476" s="1" t="s">
        <v>17</v>
      </c>
      <c r="F476" s="1" t="s">
        <v>564</v>
      </c>
      <c r="G476">
        <v>0</v>
      </c>
      <c r="H476" s="1" t="s">
        <v>17</v>
      </c>
      <c r="I476">
        <v>2421.0646034384959</v>
      </c>
      <c r="J476" s="1" t="s">
        <v>565</v>
      </c>
      <c r="K476">
        <v>0</v>
      </c>
      <c r="L476">
        <v>660.88404757604815</v>
      </c>
      <c r="M476">
        <v>3601.3910000000001</v>
      </c>
      <c r="N476">
        <v>1760.1805558624478</v>
      </c>
    </row>
    <row r="477" spans="1:14" hidden="1" x14ac:dyDescent="0.3">
      <c r="A477" s="1" t="s">
        <v>103</v>
      </c>
      <c r="B477" s="1" t="s">
        <v>13</v>
      </c>
      <c r="C477" s="1" t="s">
        <v>14</v>
      </c>
      <c r="D477">
        <v>1</v>
      </c>
      <c r="E477" s="1" t="s">
        <v>102</v>
      </c>
      <c r="F477" s="1" t="s">
        <v>104</v>
      </c>
      <c r="G477">
        <v>0</v>
      </c>
      <c r="H477" s="1" t="s">
        <v>102</v>
      </c>
      <c r="I477">
        <v>19.113158371209611</v>
      </c>
      <c r="J477" s="1" t="s">
        <v>105</v>
      </c>
      <c r="K477">
        <v>0</v>
      </c>
      <c r="L477">
        <v>13.65585150405872</v>
      </c>
      <c r="M477">
        <v>3600.0839999999998</v>
      </c>
      <c r="N477">
        <v>5.4573068671508906</v>
      </c>
    </row>
    <row r="478" spans="1:14" hidden="1" x14ac:dyDescent="0.3">
      <c r="A478" s="1" t="s">
        <v>109</v>
      </c>
      <c r="B478" s="1" t="s">
        <v>13</v>
      </c>
      <c r="C478" s="1" t="s">
        <v>14</v>
      </c>
      <c r="D478">
        <v>2</v>
      </c>
      <c r="E478" s="1" t="s">
        <v>102</v>
      </c>
      <c r="F478" s="1" t="s">
        <v>104</v>
      </c>
      <c r="G478">
        <v>0</v>
      </c>
      <c r="H478" s="1" t="s">
        <v>102</v>
      </c>
      <c r="I478">
        <v>22.152430125032968</v>
      </c>
      <c r="J478" s="1" t="s">
        <v>105</v>
      </c>
      <c r="K478">
        <v>0</v>
      </c>
      <c r="L478">
        <v>15.191026988511776</v>
      </c>
      <c r="M478">
        <v>3600.0920000000001</v>
      </c>
      <c r="N478">
        <v>6.9614031365211915</v>
      </c>
    </row>
    <row r="479" spans="1:14" hidden="1" x14ac:dyDescent="0.3">
      <c r="A479" s="1" t="s">
        <v>113</v>
      </c>
      <c r="B479" s="1" t="s">
        <v>13</v>
      </c>
      <c r="C479" s="1" t="s">
        <v>14</v>
      </c>
      <c r="D479">
        <v>3</v>
      </c>
      <c r="E479" s="1" t="s">
        <v>102</v>
      </c>
      <c r="F479" s="1" t="s">
        <v>104</v>
      </c>
      <c r="G479">
        <v>0</v>
      </c>
      <c r="H479" s="1" t="s">
        <v>102</v>
      </c>
      <c r="I479">
        <v>2.3320333963418576</v>
      </c>
      <c r="J479" s="1" t="s">
        <v>105</v>
      </c>
      <c r="K479">
        <v>0</v>
      </c>
      <c r="L479">
        <v>0</v>
      </c>
      <c r="M479">
        <v>3600.0909999999999</v>
      </c>
      <c r="N479">
        <v>2.3320333963418576</v>
      </c>
    </row>
    <row r="480" spans="1:14" hidden="1" x14ac:dyDescent="0.3">
      <c r="A480" s="1" t="s">
        <v>117</v>
      </c>
      <c r="B480" s="1" t="s">
        <v>13</v>
      </c>
      <c r="C480" s="1" t="s">
        <v>14</v>
      </c>
      <c r="D480">
        <v>4</v>
      </c>
      <c r="E480" s="1" t="s">
        <v>102</v>
      </c>
      <c r="F480" s="1" t="s">
        <v>104</v>
      </c>
      <c r="G480">
        <v>0</v>
      </c>
      <c r="H480" s="1" t="s">
        <v>102</v>
      </c>
      <c r="I480">
        <v>3.9682502908400066</v>
      </c>
      <c r="J480" s="1" t="s">
        <v>105</v>
      </c>
      <c r="K480">
        <v>0</v>
      </c>
      <c r="L480">
        <v>0</v>
      </c>
      <c r="M480">
        <v>3600.1</v>
      </c>
      <c r="N480">
        <v>3.9682502908400066</v>
      </c>
    </row>
    <row r="481" spans="1:14" hidden="1" x14ac:dyDescent="0.3">
      <c r="A481" s="1" t="s">
        <v>572</v>
      </c>
      <c r="B481" s="1" t="s">
        <v>32</v>
      </c>
      <c r="C481" s="1" t="s">
        <v>33</v>
      </c>
      <c r="D481">
        <v>4</v>
      </c>
      <c r="E481" s="1" t="s">
        <v>17</v>
      </c>
      <c r="F481" s="1" t="s">
        <v>573</v>
      </c>
      <c r="G481">
        <v>0</v>
      </c>
      <c r="H481" s="1" t="s">
        <v>17</v>
      </c>
      <c r="I481">
        <v>2594.4888374727238</v>
      </c>
      <c r="J481" s="1" t="s">
        <v>574</v>
      </c>
      <c r="K481">
        <v>0</v>
      </c>
      <c r="L481">
        <v>903.04724942759788</v>
      </c>
      <c r="M481">
        <v>3621.7159999999999</v>
      </c>
      <c r="N481">
        <v>1691.4415880451259</v>
      </c>
    </row>
    <row r="482" spans="1:14" hidden="1" x14ac:dyDescent="0.3">
      <c r="A482" s="1" t="s">
        <v>578</v>
      </c>
      <c r="B482" s="1" t="s">
        <v>32</v>
      </c>
      <c r="C482" s="1" t="s">
        <v>33</v>
      </c>
      <c r="D482">
        <v>5</v>
      </c>
      <c r="E482" s="1" t="s">
        <v>16</v>
      </c>
      <c r="F482" s="1" t="s">
        <v>579</v>
      </c>
      <c r="G482">
        <v>0</v>
      </c>
      <c r="H482" s="1" t="s">
        <v>16</v>
      </c>
      <c r="I482">
        <v>2337.4109040825592</v>
      </c>
      <c r="J482" s="1" t="s">
        <v>580</v>
      </c>
      <c r="K482">
        <v>0</v>
      </c>
      <c r="L482">
        <v>602.31583421742209</v>
      </c>
      <c r="M482">
        <v>3602.127</v>
      </c>
      <c r="N482">
        <v>1735.095069865137</v>
      </c>
    </row>
    <row r="483" spans="1:14" hidden="1" x14ac:dyDescent="0.3">
      <c r="A483" s="1" t="s">
        <v>581</v>
      </c>
      <c r="B483" s="1" t="s">
        <v>32</v>
      </c>
      <c r="C483" s="1" t="s">
        <v>33</v>
      </c>
      <c r="D483">
        <v>5</v>
      </c>
      <c r="E483" s="1" t="s">
        <v>17</v>
      </c>
      <c r="F483" s="1" t="s">
        <v>582</v>
      </c>
      <c r="G483">
        <v>0</v>
      </c>
      <c r="H483" s="1" t="s">
        <v>17</v>
      </c>
      <c r="I483">
        <v>2528.6291866627716</v>
      </c>
      <c r="J483" s="1" t="s">
        <v>583</v>
      </c>
      <c r="K483">
        <v>0</v>
      </c>
      <c r="L483">
        <v>793.55942906411428</v>
      </c>
      <c r="M483">
        <v>3601.7539999999999</v>
      </c>
      <c r="N483">
        <v>1735.0697575986571</v>
      </c>
    </row>
    <row r="484" spans="1:14" hidden="1" x14ac:dyDescent="0.3">
      <c r="A484" s="1" t="s">
        <v>127</v>
      </c>
      <c r="B484" s="1" t="s">
        <v>13</v>
      </c>
      <c r="C484" s="1" t="s">
        <v>14</v>
      </c>
      <c r="D484">
        <v>5</v>
      </c>
      <c r="E484" s="1" t="s">
        <v>102</v>
      </c>
      <c r="F484" s="1" t="s">
        <v>128</v>
      </c>
      <c r="G484">
        <v>0</v>
      </c>
      <c r="H484" s="1" t="s">
        <v>102</v>
      </c>
      <c r="I484">
        <v>3.7929994136695404</v>
      </c>
      <c r="J484" s="1" t="s">
        <v>129</v>
      </c>
      <c r="K484">
        <v>0</v>
      </c>
      <c r="L484">
        <v>0</v>
      </c>
      <c r="M484">
        <v>3600.0169999999998</v>
      </c>
      <c r="N484">
        <v>3.7929994136695404</v>
      </c>
    </row>
    <row r="485" spans="1:14" hidden="1" x14ac:dyDescent="0.3">
      <c r="A485" s="1" t="s">
        <v>139</v>
      </c>
      <c r="B485" s="1" t="s">
        <v>18</v>
      </c>
      <c r="C485" s="1" t="s">
        <v>19</v>
      </c>
      <c r="D485">
        <v>1</v>
      </c>
      <c r="E485" s="1" t="s">
        <v>102</v>
      </c>
      <c r="F485" s="1" t="s">
        <v>128</v>
      </c>
      <c r="G485">
        <v>0</v>
      </c>
      <c r="H485" s="1" t="s">
        <v>102</v>
      </c>
      <c r="I485">
        <v>39.761758749796655</v>
      </c>
      <c r="J485" s="1" t="s">
        <v>129</v>
      </c>
      <c r="K485">
        <v>0</v>
      </c>
      <c r="L485">
        <v>15.017573519538377</v>
      </c>
      <c r="M485">
        <v>3600.1260000000002</v>
      </c>
      <c r="N485">
        <v>24.744185230258275</v>
      </c>
    </row>
    <row r="486" spans="1:14" hidden="1" x14ac:dyDescent="0.3">
      <c r="A486" s="1" t="s">
        <v>148</v>
      </c>
      <c r="B486" s="1" t="s">
        <v>18</v>
      </c>
      <c r="C486" s="1" t="s">
        <v>19</v>
      </c>
      <c r="D486">
        <v>2</v>
      </c>
      <c r="E486" s="1" t="s">
        <v>102</v>
      </c>
      <c r="F486" s="1" t="s">
        <v>128</v>
      </c>
      <c r="G486">
        <v>0</v>
      </c>
      <c r="H486" s="1" t="s">
        <v>102</v>
      </c>
      <c r="I486">
        <v>41.555424227173049</v>
      </c>
      <c r="J486" s="1" t="s">
        <v>129</v>
      </c>
      <c r="K486">
        <v>0</v>
      </c>
      <c r="L486">
        <v>15.435811686593444</v>
      </c>
      <c r="M486">
        <v>3600.096</v>
      </c>
      <c r="N486">
        <v>26.119612540579602</v>
      </c>
    </row>
    <row r="487" spans="1:14" hidden="1" x14ac:dyDescent="0.3">
      <c r="A487" s="1" t="s">
        <v>157</v>
      </c>
      <c r="B487" s="1" t="s">
        <v>18</v>
      </c>
      <c r="C487" s="1" t="s">
        <v>19</v>
      </c>
      <c r="D487">
        <v>3</v>
      </c>
      <c r="E487" s="1" t="s">
        <v>102</v>
      </c>
      <c r="F487" s="1" t="s">
        <v>158</v>
      </c>
      <c r="G487">
        <v>0</v>
      </c>
      <c r="H487" s="1" t="s">
        <v>102</v>
      </c>
      <c r="I487">
        <v>19.740402093227388</v>
      </c>
      <c r="J487" s="1" t="s">
        <v>129</v>
      </c>
      <c r="K487">
        <v>0</v>
      </c>
      <c r="L487">
        <v>0</v>
      </c>
      <c r="M487">
        <v>3600.0990000000002</v>
      </c>
      <c r="N487">
        <v>19.740402093227388</v>
      </c>
    </row>
    <row r="488" spans="1:14" hidden="1" x14ac:dyDescent="0.3">
      <c r="A488" s="1" t="s">
        <v>168</v>
      </c>
      <c r="B488" s="1" t="s">
        <v>18</v>
      </c>
      <c r="C488" s="1" t="s">
        <v>19</v>
      </c>
      <c r="D488">
        <v>4</v>
      </c>
      <c r="E488" s="1" t="s">
        <v>102</v>
      </c>
      <c r="F488" s="1" t="s">
        <v>169</v>
      </c>
      <c r="G488">
        <v>0</v>
      </c>
      <c r="H488" s="1" t="s">
        <v>102</v>
      </c>
      <c r="I488">
        <v>22.758820843048206</v>
      </c>
      <c r="J488" s="1" t="s">
        <v>170</v>
      </c>
      <c r="K488">
        <v>0</v>
      </c>
      <c r="L488">
        <v>2.6049284085366962</v>
      </c>
      <c r="M488">
        <v>3600.0859999999998</v>
      </c>
      <c r="N488">
        <v>20.153892434511508</v>
      </c>
    </row>
    <row r="489" spans="1:14" hidden="1" x14ac:dyDescent="0.3">
      <c r="A489" s="1" t="s">
        <v>180</v>
      </c>
      <c r="B489" s="1" t="s">
        <v>18</v>
      </c>
      <c r="C489" s="1" t="s">
        <v>19</v>
      </c>
      <c r="D489">
        <v>5</v>
      </c>
      <c r="E489" s="1" t="s">
        <v>102</v>
      </c>
      <c r="F489" s="1" t="s">
        <v>181</v>
      </c>
      <c r="G489">
        <v>0</v>
      </c>
      <c r="H489" s="1" t="s">
        <v>102</v>
      </c>
      <c r="I489">
        <v>34.061136441961978</v>
      </c>
      <c r="J489" s="1" t="s">
        <v>170</v>
      </c>
      <c r="K489">
        <v>0</v>
      </c>
      <c r="L489">
        <v>12.047395139822598</v>
      </c>
      <c r="M489">
        <v>3600.1219999999998</v>
      </c>
      <c r="N489">
        <v>22.013741302139383</v>
      </c>
    </row>
    <row r="490" spans="1:14" hidden="1" x14ac:dyDescent="0.3">
      <c r="A490" s="1" t="s">
        <v>250</v>
      </c>
      <c r="B490" s="1" t="s">
        <v>21</v>
      </c>
      <c r="C490" s="1" t="s">
        <v>22</v>
      </c>
      <c r="D490">
        <v>1</v>
      </c>
      <c r="E490" s="1" t="s">
        <v>102</v>
      </c>
      <c r="F490" s="1" t="s">
        <v>251</v>
      </c>
      <c r="G490">
        <v>0</v>
      </c>
      <c r="H490" s="1" t="s">
        <v>102</v>
      </c>
      <c r="I490">
        <v>119.85564640508085</v>
      </c>
      <c r="J490" s="1" t="s">
        <v>170</v>
      </c>
      <c r="K490">
        <v>0</v>
      </c>
      <c r="L490">
        <v>59.591572872784781</v>
      </c>
      <c r="M490">
        <v>3602.9740000000002</v>
      </c>
      <c r="N490">
        <v>60.264073532296074</v>
      </c>
    </row>
    <row r="491" spans="1:14" hidden="1" x14ac:dyDescent="0.3">
      <c r="A491" s="1" t="s">
        <v>261</v>
      </c>
      <c r="B491" s="1" t="s">
        <v>21</v>
      </c>
      <c r="C491" s="1" t="s">
        <v>22</v>
      </c>
      <c r="D491">
        <v>2</v>
      </c>
      <c r="E491" s="1" t="s">
        <v>102</v>
      </c>
      <c r="F491" s="1" t="s">
        <v>262</v>
      </c>
      <c r="G491">
        <v>0</v>
      </c>
      <c r="H491" s="1" t="s">
        <v>102</v>
      </c>
      <c r="I491">
        <v>79.130001975071039</v>
      </c>
      <c r="J491" s="1" t="s">
        <v>170</v>
      </c>
      <c r="K491">
        <v>0</v>
      </c>
      <c r="L491">
        <v>36.702961925700549</v>
      </c>
      <c r="M491">
        <v>3600.2</v>
      </c>
      <c r="N491">
        <v>42.42704004937049</v>
      </c>
    </row>
    <row r="492" spans="1:14" hidden="1" x14ac:dyDescent="0.3">
      <c r="A492" s="1" t="s">
        <v>272</v>
      </c>
      <c r="B492" s="1" t="s">
        <v>21</v>
      </c>
      <c r="C492" s="1" t="s">
        <v>22</v>
      </c>
      <c r="D492">
        <v>3</v>
      </c>
      <c r="E492" s="1" t="s">
        <v>102</v>
      </c>
      <c r="F492" s="1" t="s">
        <v>273</v>
      </c>
      <c r="G492">
        <v>0</v>
      </c>
      <c r="H492" s="1" t="s">
        <v>102</v>
      </c>
      <c r="I492">
        <v>114.59645245371252</v>
      </c>
      <c r="J492" s="1" t="s">
        <v>274</v>
      </c>
      <c r="K492">
        <v>0</v>
      </c>
      <c r="L492">
        <v>60.193046502708938</v>
      </c>
      <c r="M492">
        <v>3603.4870000000001</v>
      </c>
      <c r="N492">
        <v>54.403405951003585</v>
      </c>
    </row>
    <row r="493" spans="1:14" hidden="1" x14ac:dyDescent="0.3">
      <c r="A493" s="1" t="s">
        <v>284</v>
      </c>
      <c r="B493" s="1" t="s">
        <v>21</v>
      </c>
      <c r="C493" s="1" t="s">
        <v>22</v>
      </c>
      <c r="D493">
        <v>4</v>
      </c>
      <c r="E493" s="1" t="s">
        <v>102</v>
      </c>
      <c r="F493" s="1" t="s">
        <v>285</v>
      </c>
      <c r="G493">
        <v>0</v>
      </c>
      <c r="H493" s="1" t="s">
        <v>102</v>
      </c>
      <c r="I493">
        <v>110.35665208980406</v>
      </c>
      <c r="J493" s="1" t="s">
        <v>274</v>
      </c>
      <c r="K493">
        <v>0</v>
      </c>
      <c r="L493">
        <v>67.705453741172036</v>
      </c>
      <c r="M493">
        <v>3600.2860000000001</v>
      </c>
      <c r="N493">
        <v>42.651198348632022</v>
      </c>
    </row>
    <row r="494" spans="1:14" hidden="1" x14ac:dyDescent="0.3">
      <c r="A494" s="1" t="s">
        <v>295</v>
      </c>
      <c r="B494" s="1" t="s">
        <v>21</v>
      </c>
      <c r="C494" s="1" t="s">
        <v>22</v>
      </c>
      <c r="D494">
        <v>5</v>
      </c>
      <c r="E494" s="1" t="s">
        <v>102</v>
      </c>
      <c r="F494" s="1" t="s">
        <v>296</v>
      </c>
      <c r="G494">
        <v>0</v>
      </c>
      <c r="H494" s="1" t="s">
        <v>102</v>
      </c>
      <c r="I494">
        <v>67.93833028370095</v>
      </c>
      <c r="J494" s="1" t="s">
        <v>274</v>
      </c>
      <c r="K494">
        <v>0</v>
      </c>
      <c r="L494">
        <v>14.918338400729827</v>
      </c>
      <c r="M494">
        <v>3600.2489999999998</v>
      </c>
      <c r="N494">
        <v>53.019991882971127</v>
      </c>
    </row>
    <row r="495" spans="1:14" hidden="1" x14ac:dyDescent="0.3">
      <c r="A495" s="1" t="s">
        <v>306</v>
      </c>
      <c r="B495" s="1" t="s">
        <v>23</v>
      </c>
      <c r="C495" s="1" t="s">
        <v>24</v>
      </c>
      <c r="D495">
        <v>1</v>
      </c>
      <c r="E495" s="1" t="s">
        <v>102</v>
      </c>
      <c r="F495" s="1" t="s">
        <v>307</v>
      </c>
      <c r="G495">
        <v>0</v>
      </c>
      <c r="H495" s="1" t="s">
        <v>102</v>
      </c>
      <c r="I495">
        <v>139.8957524937764</v>
      </c>
      <c r="J495" s="1" t="s">
        <v>308</v>
      </c>
      <c r="K495">
        <v>0</v>
      </c>
      <c r="L495">
        <v>65.407711283563643</v>
      </c>
      <c r="M495">
        <v>3600.43</v>
      </c>
      <c r="N495">
        <v>74.488041210212742</v>
      </c>
    </row>
    <row r="496" spans="1:14" hidden="1" x14ac:dyDescent="0.3">
      <c r="A496" s="1" t="s">
        <v>93</v>
      </c>
      <c r="B496" s="1" t="s">
        <v>13</v>
      </c>
      <c r="C496" s="1" t="s">
        <v>14</v>
      </c>
      <c r="D496">
        <v>1</v>
      </c>
      <c r="E496" s="1" t="s">
        <v>15</v>
      </c>
      <c r="F496" s="1" t="s">
        <v>94</v>
      </c>
      <c r="G496">
        <v>0</v>
      </c>
      <c r="H496" s="1" t="s">
        <v>15</v>
      </c>
      <c r="I496">
        <v>19.113158371209611</v>
      </c>
      <c r="J496" s="1" t="s">
        <v>95</v>
      </c>
      <c r="K496">
        <v>0</v>
      </c>
      <c r="L496">
        <v>13.65585150405872</v>
      </c>
      <c r="M496">
        <v>2.3029999999999999</v>
      </c>
      <c r="N496">
        <v>5.4573068671508906</v>
      </c>
    </row>
    <row r="497" spans="1:14" hidden="1" x14ac:dyDescent="0.3">
      <c r="A497" s="1" t="s">
        <v>106</v>
      </c>
      <c r="B497" s="1" t="s">
        <v>13</v>
      </c>
      <c r="C497" s="1" t="s">
        <v>14</v>
      </c>
      <c r="D497">
        <v>2</v>
      </c>
      <c r="E497" s="1" t="s">
        <v>15</v>
      </c>
      <c r="F497" s="1" t="s">
        <v>94</v>
      </c>
      <c r="G497">
        <v>0</v>
      </c>
      <c r="H497" s="1" t="s">
        <v>15</v>
      </c>
      <c r="I497">
        <v>22.152430125032964</v>
      </c>
      <c r="J497" s="1" t="s">
        <v>95</v>
      </c>
      <c r="K497">
        <v>0</v>
      </c>
      <c r="L497">
        <v>15.191026988511776</v>
      </c>
      <c r="M497">
        <v>4.9210000000000003</v>
      </c>
      <c r="N497">
        <v>6.9614031365211897</v>
      </c>
    </row>
    <row r="498" spans="1:14" hidden="1" x14ac:dyDescent="0.3">
      <c r="A498" s="1" t="s">
        <v>110</v>
      </c>
      <c r="B498" s="1" t="s">
        <v>13</v>
      </c>
      <c r="C498" s="1" t="s">
        <v>14</v>
      </c>
      <c r="D498">
        <v>3</v>
      </c>
      <c r="E498" s="1" t="s">
        <v>15</v>
      </c>
      <c r="F498" s="1" t="s">
        <v>94</v>
      </c>
      <c r="G498">
        <v>0</v>
      </c>
      <c r="H498" s="1" t="s">
        <v>15</v>
      </c>
      <c r="I498">
        <v>2.3320333963418576</v>
      </c>
      <c r="J498" s="1" t="s">
        <v>95</v>
      </c>
      <c r="K498">
        <v>0</v>
      </c>
      <c r="L498">
        <v>0</v>
      </c>
      <c r="M498">
        <v>0.90700000000000003</v>
      </c>
      <c r="N498">
        <v>2.3320333963418576</v>
      </c>
    </row>
    <row r="499" spans="1:14" hidden="1" x14ac:dyDescent="0.3">
      <c r="A499" s="1" t="s">
        <v>114</v>
      </c>
      <c r="B499" s="1" t="s">
        <v>13</v>
      </c>
      <c r="C499" s="1" t="s">
        <v>14</v>
      </c>
      <c r="D499">
        <v>4</v>
      </c>
      <c r="E499" s="1" t="s">
        <v>15</v>
      </c>
      <c r="F499" s="1" t="s">
        <v>94</v>
      </c>
      <c r="G499">
        <v>0</v>
      </c>
      <c r="H499" s="1" t="s">
        <v>15</v>
      </c>
      <c r="I499">
        <v>3.968250290840007</v>
      </c>
      <c r="J499" s="1" t="s">
        <v>95</v>
      </c>
      <c r="K499">
        <v>0</v>
      </c>
      <c r="L499">
        <v>0</v>
      </c>
      <c r="M499">
        <v>2.5099999999999998</v>
      </c>
      <c r="N499">
        <v>3.968250290840007</v>
      </c>
    </row>
    <row r="500" spans="1:14" hidden="1" x14ac:dyDescent="0.3">
      <c r="A500" s="1" t="s">
        <v>118</v>
      </c>
      <c r="B500" s="1" t="s">
        <v>13</v>
      </c>
      <c r="C500" s="1" t="s">
        <v>14</v>
      </c>
      <c r="D500">
        <v>5</v>
      </c>
      <c r="E500" s="1" t="s">
        <v>15</v>
      </c>
      <c r="F500" s="1" t="s">
        <v>119</v>
      </c>
      <c r="G500">
        <v>0</v>
      </c>
      <c r="H500" s="1" t="s">
        <v>15</v>
      </c>
      <c r="I500">
        <v>3.7929994136695395</v>
      </c>
      <c r="J500" s="1" t="s">
        <v>120</v>
      </c>
      <c r="K500">
        <v>0</v>
      </c>
      <c r="L500">
        <v>0</v>
      </c>
      <c r="M500">
        <v>1.538</v>
      </c>
      <c r="N500">
        <v>3.7929994136695395</v>
      </c>
    </row>
    <row r="501" spans="1:14" hidden="1" x14ac:dyDescent="0.3">
      <c r="A501" s="1" t="s">
        <v>130</v>
      </c>
      <c r="B501" s="1" t="s">
        <v>18</v>
      </c>
      <c r="C501" s="1" t="s">
        <v>19</v>
      </c>
      <c r="D501">
        <v>1</v>
      </c>
      <c r="E501" s="1" t="s">
        <v>15</v>
      </c>
      <c r="F501" s="1" t="s">
        <v>131</v>
      </c>
      <c r="G501">
        <v>0</v>
      </c>
      <c r="H501" s="1" t="s">
        <v>15</v>
      </c>
      <c r="I501">
        <v>39.75575014615066</v>
      </c>
      <c r="J501" s="1" t="s">
        <v>132</v>
      </c>
      <c r="K501">
        <v>9.0671677550743519E-4</v>
      </c>
      <c r="L501">
        <v>15.017573519538377</v>
      </c>
      <c r="M501">
        <v>3601.355</v>
      </c>
      <c r="N501">
        <v>24.738176626612283</v>
      </c>
    </row>
    <row r="502" spans="1:14" hidden="1" x14ac:dyDescent="0.3">
      <c r="A502" s="1" t="s">
        <v>140</v>
      </c>
      <c r="B502" s="1" t="s">
        <v>18</v>
      </c>
      <c r="C502" s="1" t="s">
        <v>19</v>
      </c>
      <c r="D502">
        <v>2</v>
      </c>
      <c r="E502" s="1" t="s">
        <v>15</v>
      </c>
      <c r="F502" s="1" t="s">
        <v>141</v>
      </c>
      <c r="G502">
        <v>0</v>
      </c>
      <c r="H502" s="1" t="s">
        <v>15</v>
      </c>
      <c r="I502">
        <v>41.555424227173049</v>
      </c>
      <c r="J502" s="1" t="s">
        <v>132</v>
      </c>
      <c r="K502">
        <v>8.2186408665249551E-5</v>
      </c>
      <c r="L502">
        <v>15.435811686593444</v>
      </c>
      <c r="M502">
        <v>207.953</v>
      </c>
      <c r="N502">
        <v>26.119612540579602</v>
      </c>
    </row>
    <row r="503" spans="1:14" hidden="1" x14ac:dyDescent="0.3">
      <c r="A503" s="1" t="s">
        <v>149</v>
      </c>
      <c r="B503" s="1" t="s">
        <v>18</v>
      </c>
      <c r="C503" s="1" t="s">
        <v>19</v>
      </c>
      <c r="D503">
        <v>3</v>
      </c>
      <c r="E503" s="1" t="s">
        <v>15</v>
      </c>
      <c r="F503" s="1" t="s">
        <v>150</v>
      </c>
      <c r="G503">
        <v>0</v>
      </c>
      <c r="H503" s="1" t="s">
        <v>15</v>
      </c>
      <c r="I503">
        <v>19.740402093227388</v>
      </c>
      <c r="J503" s="1" t="s">
        <v>132</v>
      </c>
      <c r="K503">
        <v>0</v>
      </c>
      <c r="L503">
        <v>0</v>
      </c>
      <c r="M503">
        <v>820.41899999999998</v>
      </c>
      <c r="N503">
        <v>19.740402093227388</v>
      </c>
    </row>
    <row r="504" spans="1:14" hidden="1" x14ac:dyDescent="0.3">
      <c r="A504" s="1" t="s">
        <v>159</v>
      </c>
      <c r="B504" s="1" t="s">
        <v>18</v>
      </c>
      <c r="C504" s="1" t="s">
        <v>19</v>
      </c>
      <c r="D504">
        <v>4</v>
      </c>
      <c r="E504" s="1" t="s">
        <v>15</v>
      </c>
      <c r="F504" s="1" t="s">
        <v>160</v>
      </c>
      <c r="G504">
        <v>0</v>
      </c>
      <c r="H504" s="1" t="s">
        <v>15</v>
      </c>
      <c r="I504">
        <v>22.758820843048195</v>
      </c>
      <c r="J504" s="1" t="s">
        <v>161</v>
      </c>
      <c r="K504">
        <v>4.9312486298519831E-3</v>
      </c>
      <c r="L504">
        <v>2.6049284085366962</v>
      </c>
      <c r="M504">
        <v>3601.018</v>
      </c>
      <c r="N504">
        <v>20.153892434511498</v>
      </c>
    </row>
    <row r="505" spans="1:14" hidden="1" x14ac:dyDescent="0.3">
      <c r="A505" s="1" t="s">
        <v>171</v>
      </c>
      <c r="B505" s="1" t="s">
        <v>18</v>
      </c>
      <c r="C505" s="1" t="s">
        <v>19</v>
      </c>
      <c r="D505">
        <v>5</v>
      </c>
      <c r="E505" s="1" t="s">
        <v>15</v>
      </c>
      <c r="F505" s="1" t="s">
        <v>172</v>
      </c>
      <c r="G505">
        <v>0</v>
      </c>
      <c r="H505" s="1" t="s">
        <v>15</v>
      </c>
      <c r="I505">
        <v>34.061136441961978</v>
      </c>
      <c r="J505" s="1" t="s">
        <v>173</v>
      </c>
      <c r="K505">
        <v>4.2144084673436605E-3</v>
      </c>
      <c r="L505">
        <v>12.047395139822598</v>
      </c>
      <c r="M505">
        <v>3601.0390000000002</v>
      </c>
      <c r="N505">
        <v>22.01374130213938</v>
      </c>
    </row>
    <row r="506" spans="1:14" hidden="1" x14ac:dyDescent="0.3">
      <c r="A506" s="1" t="s">
        <v>241</v>
      </c>
      <c r="B506" s="1" t="s">
        <v>21</v>
      </c>
      <c r="C506" s="1" t="s">
        <v>22</v>
      </c>
      <c r="D506">
        <v>1</v>
      </c>
      <c r="E506" s="1" t="s">
        <v>15</v>
      </c>
      <c r="F506" s="1" t="s">
        <v>242</v>
      </c>
      <c r="G506">
        <v>20</v>
      </c>
      <c r="H506" s="1" t="s">
        <v>15</v>
      </c>
      <c r="I506">
        <v>1014.7879161034551</v>
      </c>
      <c r="J506" s="1" t="s">
        <v>243</v>
      </c>
      <c r="K506">
        <v>0.93890347617094894</v>
      </c>
      <c r="L506">
        <v>928.48200960192048</v>
      </c>
      <c r="M506">
        <v>3603.576</v>
      </c>
      <c r="N506">
        <v>66.305906501534665</v>
      </c>
    </row>
    <row r="507" spans="1:14" hidden="1" x14ac:dyDescent="0.3">
      <c r="A507" s="1" t="s">
        <v>318</v>
      </c>
      <c r="B507" s="1" t="s">
        <v>23</v>
      </c>
      <c r="C507" s="1" t="s">
        <v>24</v>
      </c>
      <c r="D507">
        <v>2</v>
      </c>
      <c r="E507" s="1" t="s">
        <v>102</v>
      </c>
      <c r="F507" s="1" t="s">
        <v>319</v>
      </c>
      <c r="G507">
        <v>0</v>
      </c>
      <c r="H507" s="1" t="s">
        <v>102</v>
      </c>
      <c r="I507">
        <v>130.67448008437844</v>
      </c>
      <c r="J507" s="1" t="s">
        <v>320</v>
      </c>
      <c r="K507">
        <v>0</v>
      </c>
      <c r="L507">
        <v>54.09398811380521</v>
      </c>
      <c r="M507">
        <v>3600.4749999999999</v>
      </c>
      <c r="N507">
        <v>76.580491970573249</v>
      </c>
    </row>
    <row r="508" spans="1:14" hidden="1" x14ac:dyDescent="0.3">
      <c r="A508" s="1" t="s">
        <v>330</v>
      </c>
      <c r="B508" s="1" t="s">
        <v>23</v>
      </c>
      <c r="C508" s="1" t="s">
        <v>24</v>
      </c>
      <c r="D508">
        <v>3</v>
      </c>
      <c r="E508" s="1" t="s">
        <v>102</v>
      </c>
      <c r="F508" s="1" t="s">
        <v>331</v>
      </c>
      <c r="G508">
        <v>0</v>
      </c>
      <c r="H508" s="1" t="s">
        <v>102</v>
      </c>
      <c r="I508">
        <v>139.7686740833378</v>
      </c>
      <c r="J508" s="1" t="s">
        <v>320</v>
      </c>
      <c r="K508">
        <v>0</v>
      </c>
      <c r="L508">
        <v>68.13194711891343</v>
      </c>
      <c r="M508">
        <v>3600.4780000000001</v>
      </c>
      <c r="N508">
        <v>71.636726964424369</v>
      </c>
    </row>
    <row r="509" spans="1:14" hidden="1" x14ac:dyDescent="0.3">
      <c r="A509" s="1" t="s">
        <v>341</v>
      </c>
      <c r="B509" s="1" t="s">
        <v>23</v>
      </c>
      <c r="C509" s="1" t="s">
        <v>24</v>
      </c>
      <c r="D509">
        <v>4</v>
      </c>
      <c r="E509" s="1" t="s">
        <v>102</v>
      </c>
      <c r="F509" s="1" t="s">
        <v>342</v>
      </c>
      <c r="G509">
        <v>0</v>
      </c>
      <c r="H509" s="1" t="s">
        <v>102</v>
      </c>
      <c r="I509">
        <v>153.50249196774706</v>
      </c>
      <c r="J509" s="1" t="s">
        <v>343</v>
      </c>
      <c r="K509">
        <v>0</v>
      </c>
      <c r="L509">
        <v>76.070895099286147</v>
      </c>
      <c r="M509">
        <v>3600.4569999999999</v>
      </c>
      <c r="N509">
        <v>77.431596868460915</v>
      </c>
    </row>
    <row r="510" spans="1:14" hidden="1" x14ac:dyDescent="0.3">
      <c r="A510" s="1" t="s">
        <v>353</v>
      </c>
      <c r="B510" s="1" t="s">
        <v>23</v>
      </c>
      <c r="C510" s="1" t="s">
        <v>24</v>
      </c>
      <c r="D510">
        <v>5</v>
      </c>
      <c r="E510" s="1" t="s">
        <v>102</v>
      </c>
      <c r="F510" s="1" t="s">
        <v>354</v>
      </c>
      <c r="G510">
        <v>0</v>
      </c>
      <c r="H510" s="1" t="s">
        <v>102</v>
      </c>
      <c r="I510">
        <v>150.38724903240183</v>
      </c>
      <c r="J510" s="1" t="s">
        <v>343</v>
      </c>
      <c r="K510">
        <v>0</v>
      </c>
      <c r="L510">
        <v>70.424630705742416</v>
      </c>
      <c r="M510">
        <v>3600.4430000000002</v>
      </c>
      <c r="N510">
        <v>79.96261832665941</v>
      </c>
    </row>
    <row r="511" spans="1:14" hidden="1" x14ac:dyDescent="0.3">
      <c r="A511" s="1" t="s">
        <v>252</v>
      </c>
      <c r="B511" s="1" t="s">
        <v>21</v>
      </c>
      <c r="C511" s="1" t="s">
        <v>22</v>
      </c>
      <c r="D511">
        <v>2</v>
      </c>
      <c r="E511" s="1" t="s">
        <v>15</v>
      </c>
      <c r="F511" s="1" t="s">
        <v>253</v>
      </c>
      <c r="G511">
        <v>0</v>
      </c>
      <c r="H511" s="1" t="s">
        <v>15</v>
      </c>
      <c r="I511">
        <v>95.557259588525312</v>
      </c>
      <c r="J511" s="1" t="s">
        <v>254</v>
      </c>
      <c r="K511">
        <v>0.3902552040483972</v>
      </c>
      <c r="L511">
        <v>52.541814770231596</v>
      </c>
      <c r="M511">
        <v>3603.6089999999999</v>
      </c>
      <c r="N511">
        <v>43.015444818293709</v>
      </c>
    </row>
    <row r="512" spans="1:14" hidden="1" x14ac:dyDescent="0.3">
      <c r="A512" s="1" t="s">
        <v>263</v>
      </c>
      <c r="B512" s="1" t="s">
        <v>21</v>
      </c>
      <c r="C512" s="1" t="s">
        <v>22</v>
      </c>
      <c r="D512">
        <v>3</v>
      </c>
      <c r="E512" s="1" t="s">
        <v>15</v>
      </c>
      <c r="F512" s="1" t="s">
        <v>264</v>
      </c>
      <c r="G512">
        <v>0</v>
      </c>
      <c r="H512" s="1" t="s">
        <v>15</v>
      </c>
      <c r="I512">
        <v>600.59706196367097</v>
      </c>
      <c r="J512" s="1" t="s">
        <v>265</v>
      </c>
      <c r="K512">
        <v>0.90846865434963198</v>
      </c>
      <c r="L512">
        <v>538.83700134937135</v>
      </c>
      <c r="M512">
        <v>3603.5230000000001</v>
      </c>
      <c r="N512">
        <v>61.760060614299675</v>
      </c>
    </row>
    <row r="513" spans="1:14" hidden="1" x14ac:dyDescent="0.3">
      <c r="A513" s="1" t="s">
        <v>275</v>
      </c>
      <c r="B513" s="1" t="s">
        <v>21</v>
      </c>
      <c r="C513" s="1" t="s">
        <v>22</v>
      </c>
      <c r="D513">
        <v>4</v>
      </c>
      <c r="E513" s="1" t="s">
        <v>15</v>
      </c>
      <c r="F513" s="1" t="s">
        <v>276</v>
      </c>
      <c r="G513">
        <v>0</v>
      </c>
      <c r="H513" s="1" t="s">
        <v>15</v>
      </c>
      <c r="I513">
        <v>79.090030546070395</v>
      </c>
      <c r="J513" s="1" t="s">
        <v>277</v>
      </c>
      <c r="K513">
        <v>0.30597889132136707</v>
      </c>
      <c r="L513">
        <v>35.919588730635482</v>
      </c>
      <c r="M513">
        <v>3603.453</v>
      </c>
      <c r="N513">
        <v>43.170441815434913</v>
      </c>
    </row>
    <row r="514" spans="1:14" hidden="1" x14ac:dyDescent="0.3">
      <c r="A514" s="1" t="s">
        <v>286</v>
      </c>
      <c r="B514" s="1" t="s">
        <v>21</v>
      </c>
      <c r="C514" s="1" t="s">
        <v>22</v>
      </c>
      <c r="D514">
        <v>5</v>
      </c>
      <c r="E514" s="1" t="s">
        <v>15</v>
      </c>
      <c r="F514" s="1" t="s">
        <v>287</v>
      </c>
      <c r="G514">
        <v>0</v>
      </c>
      <c r="H514" s="1" t="s">
        <v>15</v>
      </c>
      <c r="I514">
        <v>62.581996299609443</v>
      </c>
      <c r="J514" s="1" t="s">
        <v>288</v>
      </c>
      <c r="K514">
        <v>1.7105361952065104E-3</v>
      </c>
      <c r="L514">
        <v>9.5620044166382758</v>
      </c>
      <c r="M514">
        <v>3602.9180000000001</v>
      </c>
      <c r="N514">
        <v>53.019991882971169</v>
      </c>
    </row>
    <row r="515" spans="1:14" hidden="1" x14ac:dyDescent="0.3">
      <c r="A515" s="1" t="s">
        <v>408</v>
      </c>
      <c r="B515" s="1" t="s">
        <v>26</v>
      </c>
      <c r="C515" s="1" t="s">
        <v>27</v>
      </c>
      <c r="D515">
        <v>1</v>
      </c>
      <c r="E515" s="1" t="s">
        <v>102</v>
      </c>
      <c r="F515" s="1" t="s">
        <v>409</v>
      </c>
      <c r="G515">
        <v>0</v>
      </c>
      <c r="H515" s="1" t="s">
        <v>102</v>
      </c>
      <c r="I515">
        <v>161.43302259709776</v>
      </c>
      <c r="J515" s="1" t="s">
        <v>410</v>
      </c>
      <c r="K515">
        <v>0</v>
      </c>
      <c r="L515">
        <v>63.839190925413376</v>
      </c>
      <c r="M515">
        <v>3600.7280000000001</v>
      </c>
      <c r="N515">
        <v>97.59383167168437</v>
      </c>
    </row>
    <row r="516" spans="1:14" hidden="1" x14ac:dyDescent="0.3">
      <c r="A516" s="1" t="s">
        <v>420</v>
      </c>
      <c r="B516" s="1" t="s">
        <v>26</v>
      </c>
      <c r="C516" s="1" t="s">
        <v>27</v>
      </c>
      <c r="D516">
        <v>2</v>
      </c>
      <c r="E516" s="1" t="s">
        <v>102</v>
      </c>
      <c r="F516" s="1" t="s">
        <v>421</v>
      </c>
      <c r="G516">
        <v>0</v>
      </c>
      <c r="H516" s="1" t="s">
        <v>102</v>
      </c>
      <c r="I516">
        <v>192.30465255029085</v>
      </c>
      <c r="J516" s="1" t="s">
        <v>410</v>
      </c>
      <c r="K516">
        <v>0</v>
      </c>
      <c r="L516">
        <v>92.492695376137988</v>
      </c>
      <c r="M516">
        <v>3601.0169999999998</v>
      </c>
      <c r="N516">
        <v>99.811957174152866</v>
      </c>
    </row>
    <row r="517" spans="1:14" hidden="1" x14ac:dyDescent="0.3">
      <c r="A517" s="1" t="s">
        <v>431</v>
      </c>
      <c r="B517" s="1" t="s">
        <v>26</v>
      </c>
      <c r="C517" s="1" t="s">
        <v>27</v>
      </c>
      <c r="D517">
        <v>3</v>
      </c>
      <c r="E517" s="1" t="s">
        <v>102</v>
      </c>
      <c r="F517" s="1" t="s">
        <v>432</v>
      </c>
      <c r="G517">
        <v>0</v>
      </c>
      <c r="H517" s="1" t="s">
        <v>102</v>
      </c>
      <c r="I517">
        <v>148.07209015376804</v>
      </c>
      <c r="J517" s="1" t="s">
        <v>433</v>
      </c>
      <c r="K517">
        <v>0</v>
      </c>
      <c r="L517">
        <v>48.647306601393005</v>
      </c>
      <c r="M517">
        <v>3600.8310000000001</v>
      </c>
      <c r="N517">
        <v>99.424783552375033</v>
      </c>
    </row>
    <row r="518" spans="1:14" hidden="1" x14ac:dyDescent="0.3">
      <c r="A518" s="1" t="s">
        <v>443</v>
      </c>
      <c r="B518" s="1" t="s">
        <v>26</v>
      </c>
      <c r="C518" s="1" t="s">
        <v>27</v>
      </c>
      <c r="D518">
        <v>4</v>
      </c>
      <c r="E518" s="1" t="s">
        <v>102</v>
      </c>
      <c r="F518" s="1" t="s">
        <v>444</v>
      </c>
      <c r="G518">
        <v>0</v>
      </c>
      <c r="H518" s="1" t="s">
        <v>102</v>
      </c>
      <c r="I518">
        <v>172.5957766878399</v>
      </c>
      <c r="J518" s="1" t="s">
        <v>433</v>
      </c>
      <c r="K518">
        <v>0</v>
      </c>
      <c r="L518">
        <v>76.646267546592057</v>
      </c>
      <c r="M518">
        <v>3600.8</v>
      </c>
      <c r="N518">
        <v>95.949509141247844</v>
      </c>
    </row>
    <row r="519" spans="1:14" hidden="1" x14ac:dyDescent="0.3">
      <c r="A519" s="1" t="s">
        <v>297</v>
      </c>
      <c r="B519" s="1" t="s">
        <v>23</v>
      </c>
      <c r="C519" s="1" t="s">
        <v>24</v>
      </c>
      <c r="D519">
        <v>1</v>
      </c>
      <c r="E519" s="1" t="s">
        <v>15</v>
      </c>
      <c r="F519" s="1" t="s">
        <v>298</v>
      </c>
      <c r="G519">
        <v>40</v>
      </c>
      <c r="H519" s="1" t="s">
        <v>15</v>
      </c>
      <c r="I519">
        <v>1779.0503180665351</v>
      </c>
      <c r="J519" s="1" t="s">
        <v>299</v>
      </c>
      <c r="K519">
        <v>0.99645958548608748</v>
      </c>
      <c r="L519">
        <v>1634.565826865452</v>
      </c>
      <c r="M519">
        <v>3608.6219999999998</v>
      </c>
      <c r="N519">
        <v>104.48449120108297</v>
      </c>
    </row>
    <row r="520" spans="1:14" hidden="1" x14ac:dyDescent="0.3">
      <c r="A520" s="1" t="s">
        <v>309</v>
      </c>
      <c r="B520" s="1" t="s">
        <v>23</v>
      </c>
      <c r="C520" s="1" t="s">
        <v>24</v>
      </c>
      <c r="D520">
        <v>2</v>
      </c>
      <c r="E520" s="1" t="s">
        <v>15</v>
      </c>
      <c r="F520" s="1" t="s">
        <v>310</v>
      </c>
      <c r="G520">
        <v>40</v>
      </c>
      <c r="H520" s="1" t="s">
        <v>15</v>
      </c>
      <c r="I520">
        <v>1485.9867313469467</v>
      </c>
      <c r="J520" s="1" t="s">
        <v>311</v>
      </c>
      <c r="K520">
        <v>0.99564039637029755</v>
      </c>
      <c r="L520">
        <v>1339.1586059643037</v>
      </c>
      <c r="M520">
        <v>3608.384</v>
      </c>
      <c r="N520">
        <v>106.82812538264318</v>
      </c>
    </row>
    <row r="521" spans="1:14" hidden="1" x14ac:dyDescent="0.3">
      <c r="A521" s="1" t="s">
        <v>321</v>
      </c>
      <c r="B521" s="1" t="s">
        <v>23</v>
      </c>
      <c r="C521" s="1" t="s">
        <v>24</v>
      </c>
      <c r="D521">
        <v>3</v>
      </c>
      <c r="E521" s="1" t="s">
        <v>15</v>
      </c>
      <c r="F521" s="1" t="s">
        <v>322</v>
      </c>
      <c r="G521">
        <v>60</v>
      </c>
      <c r="H521" s="1" t="s">
        <v>15</v>
      </c>
      <c r="I521">
        <v>1361.0478745513392</v>
      </c>
      <c r="J521" s="1" t="s">
        <v>323</v>
      </c>
      <c r="K521">
        <v>0.99625957088498274</v>
      </c>
      <c r="L521">
        <v>1202.5589931638447</v>
      </c>
      <c r="M521">
        <v>3607.9450000000002</v>
      </c>
      <c r="N521">
        <v>98.488881387494629</v>
      </c>
    </row>
    <row r="522" spans="1:14" hidden="1" x14ac:dyDescent="0.3">
      <c r="A522" s="1" t="s">
        <v>332</v>
      </c>
      <c r="B522" s="1" t="s">
        <v>23</v>
      </c>
      <c r="C522" s="1" t="s">
        <v>24</v>
      </c>
      <c r="D522">
        <v>4</v>
      </c>
      <c r="E522" s="1" t="s">
        <v>15</v>
      </c>
      <c r="F522" s="1" t="s">
        <v>333</v>
      </c>
      <c r="G522">
        <v>60</v>
      </c>
      <c r="H522" s="1" t="s">
        <v>15</v>
      </c>
      <c r="I522">
        <v>1390.0675692228908</v>
      </c>
      <c r="J522" s="1" t="s">
        <v>334</v>
      </c>
      <c r="K522">
        <v>0.99647376277875233</v>
      </c>
      <c r="L522">
        <v>1222.7067611754871</v>
      </c>
      <c r="M522">
        <v>3608.1179999999999</v>
      </c>
      <c r="N522">
        <v>107.36080804740371</v>
      </c>
    </row>
    <row r="523" spans="1:14" hidden="1" x14ac:dyDescent="0.3">
      <c r="A523" s="1" t="s">
        <v>454</v>
      </c>
      <c r="B523" s="1" t="s">
        <v>26</v>
      </c>
      <c r="C523" s="1" t="s">
        <v>27</v>
      </c>
      <c r="D523">
        <v>5</v>
      </c>
      <c r="E523" s="1" t="s">
        <v>102</v>
      </c>
      <c r="F523" s="1" t="s">
        <v>455</v>
      </c>
      <c r="G523">
        <v>0</v>
      </c>
      <c r="H523" s="1" t="s">
        <v>102</v>
      </c>
      <c r="I523">
        <v>221.23502350238041</v>
      </c>
      <c r="J523" s="1" t="s">
        <v>193</v>
      </c>
      <c r="K523">
        <v>0</v>
      </c>
      <c r="L523">
        <v>104.21384200703658</v>
      </c>
      <c r="M523">
        <v>3600.944</v>
      </c>
      <c r="N523">
        <v>117.02118149534384</v>
      </c>
    </row>
    <row r="524" spans="1:14" hidden="1" x14ac:dyDescent="0.3">
      <c r="A524" s="1" t="s">
        <v>191</v>
      </c>
      <c r="B524" s="1" t="s">
        <v>20</v>
      </c>
      <c r="C524" s="1" t="s">
        <v>19</v>
      </c>
      <c r="D524">
        <v>1</v>
      </c>
      <c r="E524" s="1" t="s">
        <v>102</v>
      </c>
      <c r="F524" s="1" t="s">
        <v>192</v>
      </c>
      <c r="G524">
        <v>0</v>
      </c>
      <c r="H524" s="1" t="s">
        <v>102</v>
      </c>
      <c r="I524">
        <v>319.53606947777735</v>
      </c>
      <c r="J524" s="1" t="s">
        <v>193</v>
      </c>
      <c r="K524">
        <v>0</v>
      </c>
      <c r="L524">
        <v>191.18367072222873</v>
      </c>
      <c r="M524">
        <v>3600.692</v>
      </c>
      <c r="N524">
        <v>128.35239875554862</v>
      </c>
    </row>
    <row r="525" spans="1:14" hidden="1" x14ac:dyDescent="0.3">
      <c r="A525" s="1" t="s">
        <v>203</v>
      </c>
      <c r="B525" s="1" t="s">
        <v>20</v>
      </c>
      <c r="C525" s="1" t="s">
        <v>19</v>
      </c>
      <c r="D525">
        <v>2</v>
      </c>
      <c r="E525" s="1" t="s">
        <v>102</v>
      </c>
      <c r="F525" s="1" t="s">
        <v>204</v>
      </c>
      <c r="G525">
        <v>0</v>
      </c>
      <c r="H525" s="1" t="s">
        <v>102</v>
      </c>
      <c r="I525">
        <v>331.50048436174211</v>
      </c>
      <c r="J525" s="1" t="s">
        <v>205</v>
      </c>
      <c r="K525">
        <v>0</v>
      </c>
      <c r="L525">
        <v>187.52545556932</v>
      </c>
      <c r="M525">
        <v>3600.6880000000001</v>
      </c>
      <c r="N525">
        <v>143.97502879242211</v>
      </c>
    </row>
    <row r="526" spans="1:14" hidden="1" x14ac:dyDescent="0.3">
      <c r="A526" s="1" t="s">
        <v>215</v>
      </c>
      <c r="B526" s="1" t="s">
        <v>20</v>
      </c>
      <c r="C526" s="1" t="s">
        <v>19</v>
      </c>
      <c r="D526">
        <v>3</v>
      </c>
      <c r="E526" s="1" t="s">
        <v>102</v>
      </c>
      <c r="F526" s="1" t="s">
        <v>216</v>
      </c>
      <c r="G526">
        <v>0</v>
      </c>
      <c r="H526" s="1" t="s">
        <v>102</v>
      </c>
      <c r="I526">
        <v>162.12217431841853</v>
      </c>
      <c r="J526" s="1" t="s">
        <v>205</v>
      </c>
      <c r="K526">
        <v>0</v>
      </c>
      <c r="L526">
        <v>59.380364014667528</v>
      </c>
      <c r="M526">
        <v>3600.931</v>
      </c>
      <c r="N526">
        <v>102.74181030375101</v>
      </c>
    </row>
    <row r="527" spans="1:14" hidden="1" x14ac:dyDescent="0.3">
      <c r="A527" s="1" t="s">
        <v>344</v>
      </c>
      <c r="B527" s="1" t="s">
        <v>23</v>
      </c>
      <c r="C527" s="1" t="s">
        <v>24</v>
      </c>
      <c r="D527">
        <v>5</v>
      </c>
      <c r="E527" s="1" t="s">
        <v>15</v>
      </c>
      <c r="F527" s="1" t="s">
        <v>345</v>
      </c>
      <c r="G527">
        <v>20</v>
      </c>
      <c r="H527" s="1" t="s">
        <v>15</v>
      </c>
      <c r="I527">
        <v>1279.3915889633035</v>
      </c>
      <c r="J527" s="1" t="s">
        <v>346</v>
      </c>
      <c r="K527">
        <v>0.99585741574248532</v>
      </c>
      <c r="L527">
        <v>1144.8039217868645</v>
      </c>
      <c r="M527">
        <v>3609.25</v>
      </c>
      <c r="N527">
        <v>114.58766717643908</v>
      </c>
    </row>
    <row r="528" spans="1:14" hidden="1" x14ac:dyDescent="0.3">
      <c r="A528" s="1" t="s">
        <v>399</v>
      </c>
      <c r="B528" s="1" t="s">
        <v>26</v>
      </c>
      <c r="C528" s="1" t="s">
        <v>27</v>
      </c>
      <c r="D528">
        <v>1</v>
      </c>
      <c r="E528" s="1" t="s">
        <v>15</v>
      </c>
      <c r="F528" s="1" t="s">
        <v>400</v>
      </c>
      <c r="G528">
        <v>40</v>
      </c>
      <c r="H528" s="1" t="s">
        <v>15</v>
      </c>
      <c r="I528">
        <v>1557.924887939429</v>
      </c>
      <c r="J528" s="1" t="s">
        <v>401</v>
      </c>
      <c r="K528">
        <v>0.99597098123196848</v>
      </c>
      <c r="L528">
        <v>1370.8169113875263</v>
      </c>
      <c r="M528">
        <v>3617.569</v>
      </c>
      <c r="N528">
        <v>147.10797655190274</v>
      </c>
    </row>
    <row r="529" spans="1:14" hidden="1" x14ac:dyDescent="0.3">
      <c r="A529" s="1" t="s">
        <v>411</v>
      </c>
      <c r="B529" s="1" t="s">
        <v>26</v>
      </c>
      <c r="C529" s="1" t="s">
        <v>27</v>
      </c>
      <c r="D529">
        <v>2</v>
      </c>
      <c r="E529" s="1" t="s">
        <v>15</v>
      </c>
      <c r="F529" s="1" t="s">
        <v>412</v>
      </c>
      <c r="G529">
        <v>60</v>
      </c>
      <c r="H529" s="1" t="s">
        <v>15</v>
      </c>
      <c r="I529">
        <v>2042.2429125479177</v>
      </c>
      <c r="J529" s="1" t="s">
        <v>413</v>
      </c>
      <c r="K529">
        <v>0.9957398768016934</v>
      </c>
      <c r="L529">
        <v>1818.996034851752</v>
      </c>
      <c r="M529">
        <v>3617.3939999999998</v>
      </c>
      <c r="N529">
        <v>163.24687769616571</v>
      </c>
    </row>
    <row r="530" spans="1:14" hidden="1" x14ac:dyDescent="0.3">
      <c r="A530" s="1" t="s">
        <v>422</v>
      </c>
      <c r="B530" s="1" t="s">
        <v>26</v>
      </c>
      <c r="C530" s="1" t="s">
        <v>27</v>
      </c>
      <c r="D530">
        <v>3</v>
      </c>
      <c r="E530" s="1" t="s">
        <v>15</v>
      </c>
      <c r="F530" s="1" t="s">
        <v>423</v>
      </c>
      <c r="G530">
        <v>60</v>
      </c>
      <c r="H530" s="1" t="s">
        <v>15</v>
      </c>
      <c r="I530">
        <v>2014.4736320687407</v>
      </c>
      <c r="J530" s="1" t="s">
        <v>424</v>
      </c>
      <c r="K530">
        <v>0.99614347215230492</v>
      </c>
      <c r="L530">
        <v>1792.8313492979107</v>
      </c>
      <c r="M530">
        <v>3615.9169999999999</v>
      </c>
      <c r="N530">
        <v>161.64228277083004</v>
      </c>
    </row>
    <row r="531" spans="1:14" hidden="1" x14ac:dyDescent="0.3">
      <c r="A531" s="1" t="s">
        <v>226</v>
      </c>
      <c r="B531" s="1" t="s">
        <v>20</v>
      </c>
      <c r="C531" s="1" t="s">
        <v>19</v>
      </c>
      <c r="D531">
        <v>4</v>
      </c>
      <c r="E531" s="1" t="s">
        <v>102</v>
      </c>
      <c r="F531" s="1" t="s">
        <v>227</v>
      </c>
      <c r="G531">
        <v>0</v>
      </c>
      <c r="H531" s="1" t="s">
        <v>102</v>
      </c>
      <c r="I531">
        <v>143.49692738316031</v>
      </c>
      <c r="J531" s="1" t="s">
        <v>228</v>
      </c>
      <c r="K531">
        <v>0</v>
      </c>
      <c r="L531">
        <v>39.037049579772273</v>
      </c>
      <c r="M531">
        <v>3600.7139999999999</v>
      </c>
      <c r="N531">
        <v>104.45987780338804</v>
      </c>
    </row>
    <row r="532" spans="1:14" hidden="1" x14ac:dyDescent="0.3">
      <c r="A532" s="1" t="s">
        <v>238</v>
      </c>
      <c r="B532" s="1" t="s">
        <v>20</v>
      </c>
      <c r="C532" s="1" t="s">
        <v>19</v>
      </c>
      <c r="D532">
        <v>5</v>
      </c>
      <c r="E532" s="1" t="s">
        <v>102</v>
      </c>
      <c r="F532" s="1" t="s">
        <v>239</v>
      </c>
      <c r="G532">
        <v>0</v>
      </c>
      <c r="H532" s="1" t="s">
        <v>102</v>
      </c>
      <c r="I532">
        <v>301.28076674069325</v>
      </c>
      <c r="J532" s="1" t="s">
        <v>240</v>
      </c>
      <c r="K532">
        <v>0</v>
      </c>
      <c r="L532">
        <v>154.21101101581101</v>
      </c>
      <c r="M532">
        <v>3600.73</v>
      </c>
      <c r="N532">
        <v>147.06975572488227</v>
      </c>
    </row>
    <row r="533" spans="1:14" hidden="1" x14ac:dyDescent="0.3">
      <c r="A533" s="1" t="s">
        <v>361</v>
      </c>
      <c r="B533" s="1" t="s">
        <v>25</v>
      </c>
      <c r="C533" s="1" t="s">
        <v>24</v>
      </c>
      <c r="D533">
        <v>1</v>
      </c>
      <c r="E533" s="1" t="s">
        <v>102</v>
      </c>
      <c r="F533" s="1" t="s">
        <v>362</v>
      </c>
      <c r="G533">
        <v>0</v>
      </c>
      <c r="H533" s="1" t="s">
        <v>102</v>
      </c>
      <c r="I533">
        <v>669.02320263829938</v>
      </c>
      <c r="J533" s="1" t="s">
        <v>363</v>
      </c>
      <c r="K533">
        <v>0</v>
      </c>
      <c r="L533">
        <v>251.53623479835403</v>
      </c>
      <c r="M533">
        <v>3603.4569999999999</v>
      </c>
      <c r="N533">
        <v>417.48696783994535</v>
      </c>
    </row>
    <row r="534" spans="1:14" hidden="1" x14ac:dyDescent="0.3">
      <c r="A534" s="1" t="s">
        <v>370</v>
      </c>
      <c r="B534" s="1" t="s">
        <v>25</v>
      </c>
      <c r="C534" s="1" t="s">
        <v>24</v>
      </c>
      <c r="D534">
        <v>2</v>
      </c>
      <c r="E534" s="1" t="s">
        <v>102</v>
      </c>
      <c r="F534" s="1" t="s">
        <v>371</v>
      </c>
      <c r="G534">
        <v>0</v>
      </c>
      <c r="H534" s="1" t="s">
        <v>102</v>
      </c>
      <c r="I534">
        <v>875.64707763803267</v>
      </c>
      <c r="J534" s="1" t="s">
        <v>372</v>
      </c>
      <c r="K534">
        <v>0</v>
      </c>
      <c r="L534">
        <v>460.00794287222044</v>
      </c>
      <c r="M534">
        <v>3603.3449999999998</v>
      </c>
      <c r="N534">
        <v>415.63913476581217</v>
      </c>
    </row>
    <row r="535" spans="1:14" hidden="1" x14ac:dyDescent="0.3">
      <c r="A535" s="1" t="s">
        <v>434</v>
      </c>
      <c r="B535" s="1" t="s">
        <v>26</v>
      </c>
      <c r="C535" s="1" t="s">
        <v>27</v>
      </c>
      <c r="D535">
        <v>4</v>
      </c>
      <c r="E535" s="1" t="s">
        <v>15</v>
      </c>
      <c r="F535" s="1" t="s">
        <v>435</v>
      </c>
      <c r="G535">
        <v>20</v>
      </c>
      <c r="H535" s="1" t="s">
        <v>15</v>
      </c>
      <c r="I535">
        <v>1918.4566434140004</v>
      </c>
      <c r="J535" s="1" t="s">
        <v>436</v>
      </c>
      <c r="K535">
        <v>0.99596924402628317</v>
      </c>
      <c r="L535">
        <v>1749.3542318027398</v>
      </c>
      <c r="M535">
        <v>3617.0039999999999</v>
      </c>
      <c r="N535">
        <v>149.10241161126055</v>
      </c>
    </row>
    <row r="536" spans="1:14" hidden="1" x14ac:dyDescent="0.3">
      <c r="A536" s="1" t="s">
        <v>445</v>
      </c>
      <c r="B536" s="1" t="s">
        <v>26</v>
      </c>
      <c r="C536" s="1" t="s">
        <v>27</v>
      </c>
      <c r="D536">
        <v>5</v>
      </c>
      <c r="E536" s="1" t="s">
        <v>15</v>
      </c>
      <c r="F536" s="1" t="s">
        <v>446</v>
      </c>
      <c r="G536">
        <v>60</v>
      </c>
      <c r="H536" s="1" t="s">
        <v>15</v>
      </c>
      <c r="I536">
        <v>2296.9963547158604</v>
      </c>
      <c r="J536" s="1" t="s">
        <v>447</v>
      </c>
      <c r="K536">
        <v>0.99593425979891625</v>
      </c>
      <c r="L536">
        <v>2049.2946867152591</v>
      </c>
      <c r="M536">
        <v>3617.3049999999998</v>
      </c>
      <c r="N536">
        <v>187.70166800060133</v>
      </c>
    </row>
    <row r="537" spans="1:14" x14ac:dyDescent="0.3">
      <c r="A537" s="1" t="s">
        <v>182</v>
      </c>
      <c r="B537" s="1" t="s">
        <v>20</v>
      </c>
      <c r="C537" s="1" t="s">
        <v>19</v>
      </c>
      <c r="D537">
        <v>1</v>
      </c>
      <c r="E537" s="1" t="s">
        <v>15</v>
      </c>
      <c r="F537" s="1" t="s">
        <v>183</v>
      </c>
      <c r="G537">
        <v>40</v>
      </c>
      <c r="H537" s="1" t="s">
        <v>15</v>
      </c>
      <c r="I537">
        <v>3871.6275880056887</v>
      </c>
      <c r="J537" s="1" t="s">
        <v>184</v>
      </c>
      <c r="K537">
        <v>0.98971554215165969</v>
      </c>
      <c r="L537">
        <v>3677.0962419227162</v>
      </c>
      <c r="M537">
        <v>3605.31</v>
      </c>
      <c r="N537">
        <v>154.5313460829725</v>
      </c>
    </row>
    <row r="538" spans="1:14" x14ac:dyDescent="0.3">
      <c r="A538" s="1" t="s">
        <v>194</v>
      </c>
      <c r="B538" s="1" t="s">
        <v>20</v>
      </c>
      <c r="C538" s="1" t="s">
        <v>19</v>
      </c>
      <c r="D538">
        <v>2</v>
      </c>
      <c r="E538" s="1" t="s">
        <v>15</v>
      </c>
      <c r="F538" s="1" t="s">
        <v>195</v>
      </c>
      <c r="G538">
        <v>0</v>
      </c>
      <c r="H538" s="1" t="s">
        <v>15</v>
      </c>
      <c r="I538">
        <v>300.12227220326088</v>
      </c>
      <c r="J538" s="1" t="s">
        <v>196</v>
      </c>
      <c r="K538">
        <v>0.49660646416000853</v>
      </c>
      <c r="L538">
        <v>152.8405261836507</v>
      </c>
      <c r="M538">
        <v>3605.027</v>
      </c>
      <c r="N538">
        <v>147.28174601961018</v>
      </c>
    </row>
    <row r="539" spans="1:14" hidden="1" x14ac:dyDescent="0.3">
      <c r="A539" s="1" t="s">
        <v>379</v>
      </c>
      <c r="B539" s="1" t="s">
        <v>25</v>
      </c>
      <c r="C539" s="1" t="s">
        <v>24</v>
      </c>
      <c r="D539">
        <v>3</v>
      </c>
      <c r="E539" s="1" t="s">
        <v>102</v>
      </c>
      <c r="F539" s="1" t="s">
        <v>380</v>
      </c>
      <c r="G539">
        <v>0</v>
      </c>
      <c r="H539" s="1" t="s">
        <v>102</v>
      </c>
      <c r="I539">
        <v>615.18325638420697</v>
      </c>
      <c r="J539" s="1" t="s">
        <v>381</v>
      </c>
      <c r="K539">
        <v>0</v>
      </c>
      <c r="L539">
        <v>216.00149388126243</v>
      </c>
      <c r="M539">
        <v>3604.0259999999998</v>
      </c>
      <c r="N539">
        <v>399.18176250294454</v>
      </c>
    </row>
    <row r="540" spans="1:14" hidden="1" x14ac:dyDescent="0.3">
      <c r="A540" s="1" t="s">
        <v>388</v>
      </c>
      <c r="B540" s="1" t="s">
        <v>25</v>
      </c>
      <c r="C540" s="1" t="s">
        <v>24</v>
      </c>
      <c r="D540">
        <v>4</v>
      </c>
      <c r="E540" s="1" t="s">
        <v>102</v>
      </c>
      <c r="F540" s="1" t="s">
        <v>389</v>
      </c>
      <c r="G540">
        <v>0</v>
      </c>
      <c r="H540" s="1" t="s">
        <v>102</v>
      </c>
      <c r="I540">
        <v>872.76363796921987</v>
      </c>
      <c r="J540" s="1" t="s">
        <v>381</v>
      </c>
      <c r="K540">
        <v>0</v>
      </c>
      <c r="L540">
        <v>440.20153694693579</v>
      </c>
      <c r="M540">
        <v>3603.6559999999999</v>
      </c>
      <c r="N540">
        <v>432.56210102228408</v>
      </c>
    </row>
    <row r="541" spans="1:14" hidden="1" x14ac:dyDescent="0.3">
      <c r="A541" s="1" t="s">
        <v>396</v>
      </c>
      <c r="B541" s="1" t="s">
        <v>25</v>
      </c>
      <c r="C541" s="1" t="s">
        <v>24</v>
      </c>
      <c r="D541">
        <v>5</v>
      </c>
      <c r="E541" s="1" t="s">
        <v>102</v>
      </c>
      <c r="F541" s="1" t="s">
        <v>397</v>
      </c>
      <c r="G541">
        <v>0</v>
      </c>
      <c r="H541" s="1" t="s">
        <v>102</v>
      </c>
      <c r="I541">
        <v>673.31434578204039</v>
      </c>
      <c r="J541" s="1" t="s">
        <v>398</v>
      </c>
      <c r="K541">
        <v>0</v>
      </c>
      <c r="L541">
        <v>271.81183881905395</v>
      </c>
      <c r="M541">
        <v>3603.4789999999998</v>
      </c>
      <c r="N541">
        <v>401.50250696298639</v>
      </c>
    </row>
    <row r="542" spans="1:14" hidden="1" x14ac:dyDescent="0.3">
      <c r="A542" s="1" t="s">
        <v>462</v>
      </c>
      <c r="B542" s="1" t="s">
        <v>28</v>
      </c>
      <c r="C542" s="1" t="s">
        <v>29</v>
      </c>
      <c r="D542">
        <v>1</v>
      </c>
      <c r="E542" s="1" t="s">
        <v>102</v>
      </c>
      <c r="F542" s="1" t="s">
        <v>463</v>
      </c>
      <c r="G542">
        <v>0</v>
      </c>
      <c r="H542" s="1" t="s">
        <v>102</v>
      </c>
      <c r="I542">
        <v>1208.5581307509215</v>
      </c>
      <c r="J542" s="1" t="s">
        <v>398</v>
      </c>
      <c r="K542">
        <v>0</v>
      </c>
      <c r="L542">
        <v>451.7093195875085</v>
      </c>
      <c r="M542">
        <v>3600.922</v>
      </c>
      <c r="N542">
        <v>756.84881116341307</v>
      </c>
    </row>
    <row r="543" spans="1:14" x14ac:dyDescent="0.3">
      <c r="A543" s="1" t="s">
        <v>206</v>
      </c>
      <c r="B543" s="1" t="s">
        <v>20</v>
      </c>
      <c r="C543" s="1" t="s">
        <v>19</v>
      </c>
      <c r="D543">
        <v>3</v>
      </c>
      <c r="E543" s="1" t="s">
        <v>15</v>
      </c>
      <c r="F543" s="1" t="s">
        <v>207</v>
      </c>
      <c r="G543">
        <v>0</v>
      </c>
      <c r="H543" s="1" t="s">
        <v>15</v>
      </c>
      <c r="I543">
        <v>119.32010848375801</v>
      </c>
      <c r="J543" s="1" t="s">
        <v>208</v>
      </c>
      <c r="K543">
        <v>8.0908802167131588E-2</v>
      </c>
      <c r="L543">
        <v>15.04688419933338</v>
      </c>
      <c r="M543">
        <v>3605.2429999999999</v>
      </c>
      <c r="N543">
        <v>104.27322428442463</v>
      </c>
    </row>
    <row r="544" spans="1:14" x14ac:dyDescent="0.3">
      <c r="A544" s="1" t="s">
        <v>217</v>
      </c>
      <c r="B544" s="1" t="s">
        <v>20</v>
      </c>
      <c r="C544" s="1" t="s">
        <v>19</v>
      </c>
      <c r="D544">
        <v>4</v>
      </c>
      <c r="E544" s="1" t="s">
        <v>15</v>
      </c>
      <c r="F544" s="1" t="s">
        <v>218</v>
      </c>
      <c r="G544">
        <v>0</v>
      </c>
      <c r="H544" s="1" t="s">
        <v>15</v>
      </c>
      <c r="I544">
        <v>123.83911959795853</v>
      </c>
      <c r="J544" s="1" t="s">
        <v>219</v>
      </c>
      <c r="K544">
        <v>7.9172236703176774E-2</v>
      </c>
      <c r="L544">
        <v>18.216060585617786</v>
      </c>
      <c r="M544">
        <v>3606.4789999999998</v>
      </c>
      <c r="N544">
        <v>105.62305901234075</v>
      </c>
    </row>
    <row r="545" spans="1:14" x14ac:dyDescent="0.3">
      <c r="A545" s="1" t="s">
        <v>229</v>
      </c>
      <c r="B545" s="1" t="s">
        <v>20</v>
      </c>
      <c r="C545" s="1" t="s">
        <v>19</v>
      </c>
      <c r="D545">
        <v>5</v>
      </c>
      <c r="E545" s="1" t="s">
        <v>15</v>
      </c>
      <c r="F545" s="1" t="s">
        <v>230</v>
      </c>
      <c r="G545">
        <v>80</v>
      </c>
      <c r="H545" s="1" t="s">
        <v>15</v>
      </c>
      <c r="I545">
        <v>3862.8415668764387</v>
      </c>
      <c r="J545" s="1" t="s">
        <v>231</v>
      </c>
      <c r="K545">
        <v>0.98817092856988731</v>
      </c>
      <c r="L545">
        <v>3606.0808732848154</v>
      </c>
      <c r="M545">
        <v>3605.5889999999999</v>
      </c>
      <c r="N545">
        <v>176.7606935916231</v>
      </c>
    </row>
    <row r="546" spans="1:14" hidden="1" x14ac:dyDescent="0.3">
      <c r="A546" s="1" t="s">
        <v>470</v>
      </c>
      <c r="B546" s="1" t="s">
        <v>28</v>
      </c>
      <c r="C546" s="1" t="s">
        <v>29</v>
      </c>
      <c r="D546">
        <v>2</v>
      </c>
      <c r="E546" s="1" t="s">
        <v>102</v>
      </c>
      <c r="F546" s="1" t="s">
        <v>471</v>
      </c>
      <c r="G546">
        <v>0</v>
      </c>
      <c r="H546" s="1" t="s">
        <v>102</v>
      </c>
      <c r="I546">
        <v>1375.2095669217042</v>
      </c>
      <c r="J546" s="1" t="s">
        <v>472</v>
      </c>
      <c r="K546">
        <v>0</v>
      </c>
      <c r="L546">
        <v>608.94751176864179</v>
      </c>
      <c r="M546">
        <v>3609.5590000000002</v>
      </c>
      <c r="N546">
        <v>766.26205515306231</v>
      </c>
    </row>
    <row r="547" spans="1:14" hidden="1" x14ac:dyDescent="0.3">
      <c r="A547" s="1" t="s">
        <v>479</v>
      </c>
      <c r="B547" s="1" t="s">
        <v>28</v>
      </c>
      <c r="C547" s="1" t="s">
        <v>29</v>
      </c>
      <c r="D547">
        <v>3</v>
      </c>
      <c r="E547" s="1" t="s">
        <v>102</v>
      </c>
      <c r="F547" s="1" t="s">
        <v>480</v>
      </c>
      <c r="G547">
        <v>0</v>
      </c>
      <c r="H547" s="1" t="s">
        <v>102</v>
      </c>
      <c r="I547">
        <v>1203.5269269478968</v>
      </c>
      <c r="J547" s="1" t="s">
        <v>472</v>
      </c>
      <c r="K547">
        <v>0</v>
      </c>
      <c r="L547">
        <v>465.88591300497313</v>
      </c>
      <c r="M547">
        <v>3609.7049999999999</v>
      </c>
      <c r="N547">
        <v>737.64101394292356</v>
      </c>
    </row>
    <row r="548" spans="1:14" hidden="1" x14ac:dyDescent="0.3">
      <c r="A548" s="1" t="s">
        <v>487</v>
      </c>
      <c r="B548" s="1" t="s">
        <v>28</v>
      </c>
      <c r="C548" s="1" t="s">
        <v>29</v>
      </c>
      <c r="D548">
        <v>4</v>
      </c>
      <c r="E548" s="1" t="s">
        <v>102</v>
      </c>
      <c r="F548" s="1" t="s">
        <v>488</v>
      </c>
      <c r="G548">
        <v>0</v>
      </c>
      <c r="H548" s="1" t="s">
        <v>102</v>
      </c>
      <c r="I548">
        <v>1255.0435796468382</v>
      </c>
      <c r="J548" s="1" t="s">
        <v>489</v>
      </c>
      <c r="K548">
        <v>0</v>
      </c>
      <c r="L548">
        <v>483.9848813343566</v>
      </c>
      <c r="M548">
        <v>3610.0309999999999</v>
      </c>
      <c r="N548">
        <v>771.05869831248162</v>
      </c>
    </row>
    <row r="549" spans="1:14" hidden="1" x14ac:dyDescent="0.3">
      <c r="A549" s="1" t="s">
        <v>496</v>
      </c>
      <c r="B549" s="1" t="s">
        <v>28</v>
      </c>
      <c r="C549" s="1" t="s">
        <v>29</v>
      </c>
      <c r="D549">
        <v>5</v>
      </c>
      <c r="E549" s="1" t="s">
        <v>102</v>
      </c>
      <c r="F549" s="1" t="s">
        <v>497</v>
      </c>
      <c r="G549">
        <v>0</v>
      </c>
      <c r="H549" s="1" t="s">
        <v>102</v>
      </c>
      <c r="I549">
        <v>1298.8821658264528</v>
      </c>
      <c r="J549" s="1" t="s">
        <v>498</v>
      </c>
      <c r="K549">
        <v>0</v>
      </c>
      <c r="L549">
        <v>521.4910259691793</v>
      </c>
      <c r="M549">
        <v>3609.8249999999998</v>
      </c>
      <c r="N549">
        <v>777.3911398572734</v>
      </c>
    </row>
    <row r="550" spans="1:14" hidden="1" x14ac:dyDescent="0.3">
      <c r="A550" s="1" t="s">
        <v>505</v>
      </c>
      <c r="B550" s="1" t="s">
        <v>30</v>
      </c>
      <c r="C550" s="1" t="s">
        <v>31</v>
      </c>
      <c r="D550">
        <v>1</v>
      </c>
      <c r="E550" s="1" t="s">
        <v>102</v>
      </c>
      <c r="F550" s="1" t="s">
        <v>506</v>
      </c>
      <c r="G550">
        <v>0</v>
      </c>
      <c r="H550" s="1" t="s">
        <v>102</v>
      </c>
      <c r="I550">
        <v>1877.1186387918679</v>
      </c>
      <c r="J550" s="1" t="s">
        <v>507</v>
      </c>
      <c r="K550">
        <v>0</v>
      </c>
      <c r="L550">
        <v>650.5432159590074</v>
      </c>
      <c r="M550">
        <v>3624.6260000000002</v>
      </c>
      <c r="N550">
        <v>1226.5754228328606</v>
      </c>
    </row>
    <row r="551" spans="1:14" hidden="1" x14ac:dyDescent="0.3">
      <c r="A551" s="1" t="s">
        <v>514</v>
      </c>
      <c r="B551" s="1" t="s">
        <v>30</v>
      </c>
      <c r="C551" s="1" t="s">
        <v>31</v>
      </c>
      <c r="D551">
        <v>2</v>
      </c>
      <c r="E551" s="1" t="s">
        <v>102</v>
      </c>
      <c r="F551" s="1" t="s">
        <v>515</v>
      </c>
      <c r="G551">
        <v>0</v>
      </c>
      <c r="H551" s="1" t="s">
        <v>102</v>
      </c>
      <c r="I551">
        <v>1767.6053310804286</v>
      </c>
      <c r="J551" s="1" t="s">
        <v>507</v>
      </c>
      <c r="K551">
        <v>0</v>
      </c>
      <c r="L551">
        <v>592.86053512542378</v>
      </c>
      <c r="M551">
        <v>3623.616</v>
      </c>
      <c r="N551">
        <v>1174.7447959550047</v>
      </c>
    </row>
    <row r="552" spans="1:14" hidden="1" x14ac:dyDescent="0.3">
      <c r="A552" s="1" t="s">
        <v>522</v>
      </c>
      <c r="B552" s="1" t="s">
        <v>30</v>
      </c>
      <c r="C552" s="1" t="s">
        <v>31</v>
      </c>
      <c r="D552">
        <v>3</v>
      </c>
      <c r="E552" s="1" t="s">
        <v>102</v>
      </c>
      <c r="F552" s="1" t="s">
        <v>523</v>
      </c>
      <c r="G552">
        <v>0</v>
      </c>
      <c r="H552" s="1" t="s">
        <v>102</v>
      </c>
      <c r="I552">
        <v>1769.4187633508227</v>
      </c>
      <c r="J552" s="1" t="s">
        <v>524</v>
      </c>
      <c r="K552">
        <v>0</v>
      </c>
      <c r="L552">
        <v>552.89615829412958</v>
      </c>
      <c r="M552">
        <v>3625.962</v>
      </c>
      <c r="N552">
        <v>1216.522605056693</v>
      </c>
    </row>
    <row r="553" spans="1:14" hidden="1" x14ac:dyDescent="0.3">
      <c r="A553" s="1" t="s">
        <v>531</v>
      </c>
      <c r="B553" s="1" t="s">
        <v>30</v>
      </c>
      <c r="C553" s="1" t="s">
        <v>31</v>
      </c>
      <c r="D553">
        <v>4</v>
      </c>
      <c r="E553" s="1" t="s">
        <v>102</v>
      </c>
      <c r="F553" s="1" t="s">
        <v>532</v>
      </c>
      <c r="G553">
        <v>0</v>
      </c>
      <c r="H553" s="1" t="s">
        <v>102</v>
      </c>
      <c r="I553">
        <v>1810.7983751956524</v>
      </c>
      <c r="J553" s="1" t="s">
        <v>533</v>
      </c>
      <c r="K553">
        <v>0</v>
      </c>
      <c r="L553">
        <v>677.3761324582315</v>
      </c>
      <c r="M553">
        <v>3624.962</v>
      </c>
      <c r="N553">
        <v>1133.4222427374209</v>
      </c>
    </row>
    <row r="554" spans="1:14" hidden="1" x14ac:dyDescent="0.3">
      <c r="A554" s="1" t="s">
        <v>540</v>
      </c>
      <c r="B554" s="1" t="s">
        <v>30</v>
      </c>
      <c r="C554" s="1" t="s">
        <v>31</v>
      </c>
      <c r="D554">
        <v>5</v>
      </c>
      <c r="E554" s="1" t="s">
        <v>102</v>
      </c>
      <c r="F554" s="1" t="s">
        <v>541</v>
      </c>
      <c r="G554">
        <v>0</v>
      </c>
      <c r="H554" s="1" t="s">
        <v>102</v>
      </c>
      <c r="I554">
        <v>1916.5490088828678</v>
      </c>
      <c r="J554" s="1" t="s">
        <v>542</v>
      </c>
      <c r="K554">
        <v>0</v>
      </c>
      <c r="L554">
        <v>717.16665129065268</v>
      </c>
      <c r="M554">
        <v>3624.8969999999999</v>
      </c>
      <c r="N554">
        <v>1199.3823575922152</v>
      </c>
    </row>
    <row r="555" spans="1:14" hidden="1" x14ac:dyDescent="0.3">
      <c r="A555" s="1" t="s">
        <v>549</v>
      </c>
      <c r="B555" s="1" t="s">
        <v>32</v>
      </c>
      <c r="C555" s="1" t="s">
        <v>33</v>
      </c>
      <c r="D555">
        <v>1</v>
      </c>
      <c r="E555" s="1" t="s">
        <v>102</v>
      </c>
      <c r="F555" s="1" t="s">
        <v>550</v>
      </c>
      <c r="G555">
        <v>0</v>
      </c>
      <c r="H555" s="1" t="s">
        <v>102</v>
      </c>
      <c r="I555">
        <v>2628.2778167134284</v>
      </c>
      <c r="J555" s="1" t="s">
        <v>542</v>
      </c>
      <c r="K555">
        <v>0</v>
      </c>
      <c r="L555">
        <v>873.85163664772745</v>
      </c>
      <c r="M555">
        <v>3652.61</v>
      </c>
      <c r="N555">
        <v>1754.4261800657011</v>
      </c>
    </row>
    <row r="556" spans="1:14" hidden="1" x14ac:dyDescent="0.3">
      <c r="A556" s="1" t="s">
        <v>557</v>
      </c>
      <c r="B556" s="1" t="s">
        <v>32</v>
      </c>
      <c r="C556" s="1" t="s">
        <v>33</v>
      </c>
      <c r="D556">
        <v>2</v>
      </c>
      <c r="E556" s="1" t="s">
        <v>102</v>
      </c>
      <c r="F556" s="1" t="s">
        <v>558</v>
      </c>
      <c r="G556">
        <v>0</v>
      </c>
      <c r="H556" s="1" t="s">
        <v>102</v>
      </c>
      <c r="I556">
        <v>2489.2333634341867</v>
      </c>
      <c r="J556" s="1" t="s">
        <v>559</v>
      </c>
      <c r="K556">
        <v>0</v>
      </c>
      <c r="L556">
        <v>828.71250755553388</v>
      </c>
      <c r="M556">
        <v>3649.3110000000001</v>
      </c>
      <c r="N556">
        <v>1660.520855878653</v>
      </c>
    </row>
    <row r="557" spans="1:14" hidden="1" x14ac:dyDescent="0.3">
      <c r="A557" s="1" t="s">
        <v>566</v>
      </c>
      <c r="B557" s="1" t="s">
        <v>32</v>
      </c>
      <c r="C557" s="1" t="s">
        <v>33</v>
      </c>
      <c r="D557">
        <v>3</v>
      </c>
      <c r="E557" s="1" t="s">
        <v>102</v>
      </c>
      <c r="F557" s="1" t="s">
        <v>567</v>
      </c>
      <c r="G557">
        <v>0</v>
      </c>
      <c r="H557" s="1" t="s">
        <v>102</v>
      </c>
      <c r="I557">
        <v>2431.472135671559</v>
      </c>
      <c r="J557" s="1" t="s">
        <v>568</v>
      </c>
      <c r="K557">
        <v>0</v>
      </c>
      <c r="L557">
        <v>672.34303569419637</v>
      </c>
      <c r="M557">
        <v>3654.4169999999999</v>
      </c>
      <c r="N557">
        <v>1759.1290999773626</v>
      </c>
    </row>
    <row r="558" spans="1:14" hidden="1" x14ac:dyDescent="0.3">
      <c r="A558" s="1" t="s">
        <v>575</v>
      </c>
      <c r="B558" s="1" t="s">
        <v>32</v>
      </c>
      <c r="C558" s="1" t="s">
        <v>33</v>
      </c>
      <c r="D558">
        <v>4</v>
      </c>
      <c r="E558" s="1" t="s">
        <v>102</v>
      </c>
      <c r="F558" s="1" t="s">
        <v>576</v>
      </c>
      <c r="G558">
        <v>0</v>
      </c>
      <c r="H558" s="1" t="s">
        <v>102</v>
      </c>
      <c r="I558">
        <v>2621.9457205559188</v>
      </c>
      <c r="J558" s="1" t="s">
        <v>577</v>
      </c>
      <c r="K558">
        <v>0</v>
      </c>
      <c r="L558">
        <v>930.067859079507</v>
      </c>
      <c r="M558">
        <v>3642.3420000000001</v>
      </c>
      <c r="N558">
        <v>1691.8778614764117</v>
      </c>
    </row>
    <row r="559" spans="1:14" hidden="1" x14ac:dyDescent="0.3">
      <c r="A559" s="1" t="s">
        <v>584</v>
      </c>
      <c r="B559" s="1" t="s">
        <v>32</v>
      </c>
      <c r="C559" s="1" t="s">
        <v>33</v>
      </c>
      <c r="D559">
        <v>5</v>
      </c>
      <c r="E559" s="1" t="s">
        <v>102</v>
      </c>
      <c r="F559" s="1" t="s">
        <v>585</v>
      </c>
      <c r="G559">
        <v>0</v>
      </c>
      <c r="H559" s="1" t="s">
        <v>102</v>
      </c>
      <c r="I559">
        <v>2537.2195221448696</v>
      </c>
      <c r="J559" s="1" t="s">
        <v>586</v>
      </c>
      <c r="K559">
        <v>0</v>
      </c>
      <c r="L559">
        <v>800.89909719622563</v>
      </c>
      <c r="M559">
        <v>3640.69</v>
      </c>
      <c r="N559">
        <v>1736.3204249486441</v>
      </c>
    </row>
    <row r="560" spans="1:14" hidden="1" x14ac:dyDescent="0.3">
      <c r="A560" s="1" t="s">
        <v>1570</v>
      </c>
      <c r="B560" s="1" t="s">
        <v>1567</v>
      </c>
      <c r="C560" s="1" t="s">
        <v>29</v>
      </c>
      <c r="D560">
        <v>1</v>
      </c>
      <c r="E560" s="1" t="s">
        <v>17</v>
      </c>
      <c r="F560" s="1" t="s">
        <v>1571</v>
      </c>
      <c r="G560">
        <v>0</v>
      </c>
      <c r="H560" s="1" t="s">
        <v>17</v>
      </c>
      <c r="I560">
        <v>208.41107395894616</v>
      </c>
      <c r="J560" s="1" t="s">
        <v>1572</v>
      </c>
      <c r="K560">
        <v>0</v>
      </c>
      <c r="L560">
        <v>48.337087662735108</v>
      </c>
      <c r="M560">
        <v>3601.1210000000001</v>
      </c>
      <c r="N560">
        <v>160.07398629621105</v>
      </c>
    </row>
    <row r="561" spans="1:14" hidden="1" x14ac:dyDescent="0.3">
      <c r="A561" s="1" t="s">
        <v>1579</v>
      </c>
      <c r="B561" s="1" t="s">
        <v>1567</v>
      </c>
      <c r="C561" s="1" t="s">
        <v>29</v>
      </c>
      <c r="D561">
        <v>2</v>
      </c>
      <c r="E561" s="1" t="s">
        <v>17</v>
      </c>
      <c r="F561" s="1" t="s">
        <v>1571</v>
      </c>
      <c r="G561">
        <v>0</v>
      </c>
      <c r="H561" s="1" t="s">
        <v>17</v>
      </c>
      <c r="I561">
        <v>224.40392164510226</v>
      </c>
      <c r="J561" s="1" t="s">
        <v>1572</v>
      </c>
      <c r="K561">
        <v>0</v>
      </c>
      <c r="L561">
        <v>78.827587887538499</v>
      </c>
      <c r="M561">
        <v>3601.0610000000001</v>
      </c>
      <c r="N561">
        <v>145.57633375756376</v>
      </c>
    </row>
    <row r="562" spans="1:14" hidden="1" x14ac:dyDescent="0.3">
      <c r="A562" s="1" t="s">
        <v>1573</v>
      </c>
      <c r="B562" s="1" t="s">
        <v>1567</v>
      </c>
      <c r="C562" s="1" t="s">
        <v>29</v>
      </c>
      <c r="D562">
        <v>1</v>
      </c>
      <c r="E562" s="1" t="s">
        <v>102</v>
      </c>
      <c r="F562" s="1" t="s">
        <v>1574</v>
      </c>
      <c r="G562">
        <v>0</v>
      </c>
      <c r="H562" s="1" t="s">
        <v>102</v>
      </c>
      <c r="I562">
        <v>254.51050153963263</v>
      </c>
      <c r="J562" s="1" t="s">
        <v>1575</v>
      </c>
      <c r="K562">
        <v>0</v>
      </c>
      <c r="L562">
        <v>98.346326679178517</v>
      </c>
      <c r="M562">
        <v>3601.2150000000001</v>
      </c>
      <c r="N562">
        <v>156.1641748604541</v>
      </c>
    </row>
    <row r="563" spans="1:14" hidden="1" x14ac:dyDescent="0.3">
      <c r="A563" s="1" t="s">
        <v>1580</v>
      </c>
      <c r="B563" s="1" t="s">
        <v>1567</v>
      </c>
      <c r="C563" s="1" t="s">
        <v>29</v>
      </c>
      <c r="D563">
        <v>2</v>
      </c>
      <c r="E563" s="1" t="s">
        <v>102</v>
      </c>
      <c r="F563" s="1" t="s">
        <v>1574</v>
      </c>
      <c r="G563">
        <v>0</v>
      </c>
      <c r="H563" s="1" t="s">
        <v>102</v>
      </c>
      <c r="I563">
        <v>285.9167621223346</v>
      </c>
      <c r="J563" s="1" t="s">
        <v>1575</v>
      </c>
      <c r="K563">
        <v>0</v>
      </c>
      <c r="L563">
        <v>143.00523671919831</v>
      </c>
      <c r="M563">
        <v>3601.605</v>
      </c>
      <c r="N563">
        <v>142.91152540313632</v>
      </c>
    </row>
    <row r="564" spans="1:14" hidden="1" x14ac:dyDescent="0.3">
      <c r="A564" s="1" t="s">
        <v>1584</v>
      </c>
      <c r="B564" s="1" t="s">
        <v>1567</v>
      </c>
      <c r="C564" s="1" t="s">
        <v>29</v>
      </c>
      <c r="D564">
        <v>3</v>
      </c>
      <c r="E564" s="1" t="s">
        <v>17</v>
      </c>
      <c r="F564" s="1" t="s">
        <v>1585</v>
      </c>
      <c r="G564">
        <v>0</v>
      </c>
      <c r="H564" s="1" t="s">
        <v>17</v>
      </c>
      <c r="I564">
        <v>240.12338346778881</v>
      </c>
      <c r="J564" s="1" t="s">
        <v>1586</v>
      </c>
      <c r="K564">
        <v>0</v>
      </c>
      <c r="L564">
        <v>72.204582893483206</v>
      </c>
      <c r="M564">
        <v>3600.857</v>
      </c>
      <c r="N564">
        <v>167.91880057430561</v>
      </c>
    </row>
    <row r="565" spans="1:14" hidden="1" x14ac:dyDescent="0.3">
      <c r="A565" s="1" t="s">
        <v>1593</v>
      </c>
      <c r="B565" s="1" t="s">
        <v>1567</v>
      </c>
      <c r="C565" s="1" t="s">
        <v>29</v>
      </c>
      <c r="D565">
        <v>4</v>
      </c>
      <c r="E565" s="1" t="s">
        <v>17</v>
      </c>
      <c r="F565" s="1" t="s">
        <v>1594</v>
      </c>
      <c r="G565">
        <v>0</v>
      </c>
      <c r="H565" s="1" t="s">
        <v>17</v>
      </c>
      <c r="I565">
        <v>173.48320515526152</v>
      </c>
      <c r="J565" s="1" t="s">
        <v>1586</v>
      </c>
      <c r="K565">
        <v>0</v>
      </c>
      <c r="L565">
        <v>37.856389645623061</v>
      </c>
      <c r="M565">
        <v>3600.2930000000001</v>
      </c>
      <c r="N565">
        <v>135.62681550963845</v>
      </c>
    </row>
    <row r="566" spans="1:14" hidden="1" x14ac:dyDescent="0.3">
      <c r="A566" s="1" t="s">
        <v>1587</v>
      </c>
      <c r="B566" s="1" t="s">
        <v>1567</v>
      </c>
      <c r="C566" s="1" t="s">
        <v>29</v>
      </c>
      <c r="D566">
        <v>3</v>
      </c>
      <c r="E566" s="1" t="s">
        <v>102</v>
      </c>
      <c r="F566" s="1" t="s">
        <v>1588</v>
      </c>
      <c r="G566">
        <v>0</v>
      </c>
      <c r="H566" s="1" t="s">
        <v>102</v>
      </c>
      <c r="I566">
        <v>319.5934581953336</v>
      </c>
      <c r="J566" s="1" t="s">
        <v>1589</v>
      </c>
      <c r="K566">
        <v>0</v>
      </c>
      <c r="L566">
        <v>155.18871457219433</v>
      </c>
      <c r="M566">
        <v>3601.2910000000002</v>
      </c>
      <c r="N566">
        <v>164.4047436231393</v>
      </c>
    </row>
    <row r="567" spans="1:14" hidden="1" x14ac:dyDescent="0.3">
      <c r="A567" s="1" t="s">
        <v>1595</v>
      </c>
      <c r="B567" s="1" t="s">
        <v>1567</v>
      </c>
      <c r="C567" s="1" t="s">
        <v>29</v>
      </c>
      <c r="D567">
        <v>4</v>
      </c>
      <c r="E567" s="1" t="s">
        <v>102</v>
      </c>
      <c r="F567" s="1" t="s">
        <v>1596</v>
      </c>
      <c r="G567">
        <v>0</v>
      </c>
      <c r="H567" s="1" t="s">
        <v>102</v>
      </c>
      <c r="I567">
        <v>212.9445392611463</v>
      </c>
      <c r="J567" s="1" t="s">
        <v>1589</v>
      </c>
      <c r="K567">
        <v>0</v>
      </c>
      <c r="L567">
        <v>80.878099762699193</v>
      </c>
      <c r="M567">
        <v>3601.134</v>
      </c>
      <c r="N567">
        <v>132.0664394984471</v>
      </c>
    </row>
    <row r="568" spans="1:14" hidden="1" x14ac:dyDescent="0.3">
      <c r="A568" s="1" t="s">
        <v>1600</v>
      </c>
      <c r="B568" s="1" t="s">
        <v>1567</v>
      </c>
      <c r="C568" s="1" t="s">
        <v>29</v>
      </c>
      <c r="D568">
        <v>5</v>
      </c>
      <c r="E568" s="1" t="s">
        <v>17</v>
      </c>
      <c r="F568" s="1" t="s">
        <v>1601</v>
      </c>
      <c r="G568">
        <v>0</v>
      </c>
      <c r="H568" s="1" t="s">
        <v>17</v>
      </c>
      <c r="I568">
        <v>192.09103257221071</v>
      </c>
      <c r="J568" s="1" t="s">
        <v>1602</v>
      </c>
      <c r="K568">
        <v>0</v>
      </c>
      <c r="L568">
        <v>30.268586770121907</v>
      </c>
      <c r="M568">
        <v>3600.3710000000001</v>
      </c>
      <c r="N568">
        <v>161.82244580208879</v>
      </c>
    </row>
    <row r="569" spans="1:14" hidden="1" x14ac:dyDescent="0.3">
      <c r="A569" s="1" t="s">
        <v>1610</v>
      </c>
      <c r="B569" s="1" t="s">
        <v>1607</v>
      </c>
      <c r="C569" s="1" t="s">
        <v>31</v>
      </c>
      <c r="D569">
        <v>1</v>
      </c>
      <c r="E569" s="1" t="s">
        <v>17</v>
      </c>
      <c r="F569" s="1" t="s">
        <v>1611</v>
      </c>
      <c r="G569">
        <v>0</v>
      </c>
      <c r="H569" s="1" t="s">
        <v>17</v>
      </c>
      <c r="I569">
        <v>288.24939645475501</v>
      </c>
      <c r="J569" s="1" t="s">
        <v>1602</v>
      </c>
      <c r="K569">
        <v>0</v>
      </c>
      <c r="L569">
        <v>76.541955911285186</v>
      </c>
      <c r="M569">
        <v>3600.2779999999998</v>
      </c>
      <c r="N569">
        <v>211.70744054346986</v>
      </c>
    </row>
    <row r="570" spans="1:14" hidden="1" x14ac:dyDescent="0.3">
      <c r="A570" s="1" t="s">
        <v>1603</v>
      </c>
      <c r="B570" s="1" t="s">
        <v>1567</v>
      </c>
      <c r="C570" s="1" t="s">
        <v>29</v>
      </c>
      <c r="D570">
        <v>5</v>
      </c>
      <c r="E570" s="1" t="s">
        <v>102</v>
      </c>
      <c r="F570" s="1" t="s">
        <v>1604</v>
      </c>
      <c r="G570">
        <v>0</v>
      </c>
      <c r="H570" s="1" t="s">
        <v>102</v>
      </c>
      <c r="I570">
        <v>219.92113333375823</v>
      </c>
      <c r="J570" s="1" t="s">
        <v>1605</v>
      </c>
      <c r="K570">
        <v>0</v>
      </c>
      <c r="L570">
        <v>60.808088012470613</v>
      </c>
      <c r="M570">
        <v>3601.1329999999998</v>
      </c>
      <c r="N570">
        <v>159.11304532128761</v>
      </c>
    </row>
    <row r="571" spans="1:14" hidden="1" x14ac:dyDescent="0.3">
      <c r="A571" s="1" t="s">
        <v>1612</v>
      </c>
      <c r="B571" s="1" t="s">
        <v>1607</v>
      </c>
      <c r="C571" s="1" t="s">
        <v>31</v>
      </c>
      <c r="D571">
        <v>1</v>
      </c>
      <c r="E571" s="1" t="s">
        <v>102</v>
      </c>
      <c r="F571" s="1" t="s">
        <v>1613</v>
      </c>
      <c r="G571">
        <v>0</v>
      </c>
      <c r="H571" s="1" t="s">
        <v>102</v>
      </c>
      <c r="I571">
        <v>324.79169230152337</v>
      </c>
      <c r="J571" s="1" t="s">
        <v>1605</v>
      </c>
      <c r="K571">
        <v>0</v>
      </c>
      <c r="L571">
        <v>117.0374673252949</v>
      </c>
      <c r="M571">
        <v>3602.0889999999999</v>
      </c>
      <c r="N571">
        <v>207.75422497622847</v>
      </c>
    </row>
    <row r="572" spans="1:14" hidden="1" x14ac:dyDescent="0.3">
      <c r="A572" s="1" t="s">
        <v>1616</v>
      </c>
      <c r="B572" s="1" t="s">
        <v>1607</v>
      </c>
      <c r="C572" s="1" t="s">
        <v>31</v>
      </c>
      <c r="D572">
        <v>2</v>
      </c>
      <c r="E572" s="1" t="s">
        <v>17</v>
      </c>
      <c r="F572" s="1" t="s">
        <v>1617</v>
      </c>
      <c r="G572">
        <v>0</v>
      </c>
      <c r="H572" s="1" t="s">
        <v>17</v>
      </c>
      <c r="I572">
        <v>292.07670099049051</v>
      </c>
      <c r="J572" s="1" t="s">
        <v>1618</v>
      </c>
      <c r="K572">
        <v>0</v>
      </c>
      <c r="L572">
        <v>71.26141622809979</v>
      </c>
      <c r="M572">
        <v>3600.1909999999998</v>
      </c>
      <c r="N572">
        <v>220.81528476239075</v>
      </c>
    </row>
    <row r="573" spans="1:14" hidden="1" x14ac:dyDescent="0.3">
      <c r="A573" s="1" t="s">
        <v>1625</v>
      </c>
      <c r="B573" s="1" t="s">
        <v>1607</v>
      </c>
      <c r="C573" s="1" t="s">
        <v>31</v>
      </c>
      <c r="D573">
        <v>3</v>
      </c>
      <c r="E573" s="1" t="s">
        <v>17</v>
      </c>
      <c r="F573" s="1" t="s">
        <v>1626</v>
      </c>
      <c r="G573">
        <v>0</v>
      </c>
      <c r="H573" s="1" t="s">
        <v>17</v>
      </c>
      <c r="I573">
        <v>322.45315191368309</v>
      </c>
      <c r="J573" s="1" t="s">
        <v>1618</v>
      </c>
      <c r="K573">
        <v>0</v>
      </c>
      <c r="L573">
        <v>108.33980444948841</v>
      </c>
      <c r="M573">
        <v>3600.37</v>
      </c>
      <c r="N573">
        <v>214.1133474641947</v>
      </c>
    </row>
    <row r="574" spans="1:14" hidden="1" x14ac:dyDescent="0.3">
      <c r="A574" s="1" t="s">
        <v>1619</v>
      </c>
      <c r="B574" s="1" t="s">
        <v>1607</v>
      </c>
      <c r="C574" s="1" t="s">
        <v>31</v>
      </c>
      <c r="D574">
        <v>2</v>
      </c>
      <c r="E574" s="1" t="s">
        <v>102</v>
      </c>
      <c r="F574" s="1" t="s">
        <v>1620</v>
      </c>
      <c r="G574">
        <v>0</v>
      </c>
      <c r="H574" s="1" t="s">
        <v>102</v>
      </c>
      <c r="I574">
        <v>338.10142246124013</v>
      </c>
      <c r="J574" s="1" t="s">
        <v>1621</v>
      </c>
      <c r="K574">
        <v>0</v>
      </c>
      <c r="L574">
        <v>120.26210586352846</v>
      </c>
      <c r="M574">
        <v>3602.4810000000002</v>
      </c>
      <c r="N574">
        <v>217.83931659771167</v>
      </c>
    </row>
    <row r="575" spans="1:14" hidden="1" x14ac:dyDescent="0.3">
      <c r="A575" s="1" t="s">
        <v>1627</v>
      </c>
      <c r="B575" s="1" t="s">
        <v>1607</v>
      </c>
      <c r="C575" s="1" t="s">
        <v>31</v>
      </c>
      <c r="D575">
        <v>3</v>
      </c>
      <c r="E575" s="1" t="s">
        <v>102</v>
      </c>
      <c r="F575" s="1" t="s">
        <v>1628</v>
      </c>
      <c r="G575">
        <v>0</v>
      </c>
      <c r="H575" s="1" t="s">
        <v>102</v>
      </c>
      <c r="I575">
        <v>337.54761531325056</v>
      </c>
      <c r="J575" s="1" t="s">
        <v>1629</v>
      </c>
      <c r="K575">
        <v>0</v>
      </c>
      <c r="L575">
        <v>127.73039261018734</v>
      </c>
      <c r="M575">
        <v>3601.97</v>
      </c>
      <c r="N575">
        <v>209.81722270306321</v>
      </c>
    </row>
    <row r="576" spans="1:14" hidden="1" x14ac:dyDescent="0.3">
      <c r="A576" s="1" t="s">
        <v>1633</v>
      </c>
      <c r="B576" s="1" t="s">
        <v>1607</v>
      </c>
      <c r="C576" s="1" t="s">
        <v>31</v>
      </c>
      <c r="D576">
        <v>4</v>
      </c>
      <c r="E576" s="1" t="s">
        <v>17</v>
      </c>
      <c r="F576" s="1" t="s">
        <v>1634</v>
      </c>
      <c r="G576">
        <v>0</v>
      </c>
      <c r="H576" s="1" t="s">
        <v>17</v>
      </c>
      <c r="I576">
        <v>293.32710989082091</v>
      </c>
      <c r="J576" s="1" t="s">
        <v>1635</v>
      </c>
      <c r="K576">
        <v>0</v>
      </c>
      <c r="L576">
        <v>61.771520501879223</v>
      </c>
      <c r="M576">
        <v>3600.3420000000001</v>
      </c>
      <c r="N576">
        <v>231.55558938894171</v>
      </c>
    </row>
    <row r="577" spans="1:14" hidden="1" x14ac:dyDescent="0.3">
      <c r="A577" s="1" t="s">
        <v>1642</v>
      </c>
      <c r="B577" s="1" t="s">
        <v>1607</v>
      </c>
      <c r="C577" s="1" t="s">
        <v>31</v>
      </c>
      <c r="D577">
        <v>5</v>
      </c>
      <c r="E577" s="1" t="s">
        <v>17</v>
      </c>
      <c r="F577" s="1" t="s">
        <v>1643</v>
      </c>
      <c r="G577">
        <v>0</v>
      </c>
      <c r="H577" s="1" t="s">
        <v>17</v>
      </c>
      <c r="I577">
        <v>337.10442587511358</v>
      </c>
      <c r="J577" s="1" t="s">
        <v>1644</v>
      </c>
      <c r="K577">
        <v>0</v>
      </c>
      <c r="L577">
        <v>116.04317838814964</v>
      </c>
      <c r="M577">
        <v>3601.0189999999998</v>
      </c>
      <c r="N577">
        <v>221.06124748696394</v>
      </c>
    </row>
    <row r="578" spans="1:14" hidden="1" x14ac:dyDescent="0.3">
      <c r="A578" s="1" t="s">
        <v>1636</v>
      </c>
      <c r="B578" s="1" t="s">
        <v>1607</v>
      </c>
      <c r="C578" s="1" t="s">
        <v>31</v>
      </c>
      <c r="D578">
        <v>4</v>
      </c>
      <c r="E578" s="1" t="s">
        <v>102</v>
      </c>
      <c r="F578" s="1" t="s">
        <v>1637</v>
      </c>
      <c r="G578">
        <v>0</v>
      </c>
      <c r="H578" s="1" t="s">
        <v>102</v>
      </c>
      <c r="I578">
        <v>336.4004596942421</v>
      </c>
      <c r="J578" s="1" t="s">
        <v>1638</v>
      </c>
      <c r="K578">
        <v>0</v>
      </c>
      <c r="L578">
        <v>109.44295316733864</v>
      </c>
      <c r="M578">
        <v>3601.93</v>
      </c>
      <c r="N578">
        <v>226.95750652690347</v>
      </c>
    </row>
    <row r="579" spans="1:14" hidden="1" x14ac:dyDescent="0.3">
      <c r="A579" s="1" t="s">
        <v>1645</v>
      </c>
      <c r="B579" s="1" t="s">
        <v>1607</v>
      </c>
      <c r="C579" s="1" t="s">
        <v>31</v>
      </c>
      <c r="D579">
        <v>5</v>
      </c>
      <c r="E579" s="1" t="s">
        <v>102</v>
      </c>
      <c r="F579" s="1" t="s">
        <v>1646</v>
      </c>
      <c r="G579">
        <v>0</v>
      </c>
      <c r="H579" s="1" t="s">
        <v>102</v>
      </c>
      <c r="I579">
        <v>386.31896932749197</v>
      </c>
      <c r="J579" s="1" t="s">
        <v>1647</v>
      </c>
      <c r="K579">
        <v>0</v>
      </c>
      <c r="L579">
        <v>169.83949800295696</v>
      </c>
      <c r="M579">
        <v>3602.2629999999999</v>
      </c>
      <c r="N579">
        <v>216.47947132453501</v>
      </c>
    </row>
    <row r="580" spans="1:14" hidden="1" x14ac:dyDescent="0.3">
      <c r="A580" s="1" t="s">
        <v>1652</v>
      </c>
      <c r="B580" s="1" t="s">
        <v>1649</v>
      </c>
      <c r="C580" s="1" t="s">
        <v>33</v>
      </c>
      <c r="D580">
        <v>1</v>
      </c>
      <c r="E580" s="1" t="s">
        <v>17</v>
      </c>
      <c r="F580" s="1" t="s">
        <v>1653</v>
      </c>
      <c r="G580">
        <v>0</v>
      </c>
      <c r="H580" s="1" t="s">
        <v>17</v>
      </c>
      <c r="I580">
        <v>470.00850554313564</v>
      </c>
      <c r="J580" s="1" t="s">
        <v>1654</v>
      </c>
      <c r="K580">
        <v>0</v>
      </c>
      <c r="L580">
        <v>140.53894971169075</v>
      </c>
      <c r="M580">
        <v>3600.6559999999999</v>
      </c>
      <c r="N580">
        <v>329.46955583144489</v>
      </c>
    </row>
    <row r="581" spans="1:14" hidden="1" x14ac:dyDescent="0.3">
      <c r="A581" s="1" t="s">
        <v>1661</v>
      </c>
      <c r="B581" s="1" t="s">
        <v>1649</v>
      </c>
      <c r="C581" s="1" t="s">
        <v>33</v>
      </c>
      <c r="D581">
        <v>2</v>
      </c>
      <c r="E581" s="1" t="s">
        <v>17</v>
      </c>
      <c r="F581" s="1" t="s">
        <v>1662</v>
      </c>
      <c r="G581">
        <v>0</v>
      </c>
      <c r="H581" s="1" t="s">
        <v>17</v>
      </c>
      <c r="I581">
        <v>467.25810398684257</v>
      </c>
      <c r="J581" s="1" t="s">
        <v>1663</v>
      </c>
      <c r="K581">
        <v>0</v>
      </c>
      <c r="L581">
        <v>171.80102279084124</v>
      </c>
      <c r="M581">
        <v>3600.67</v>
      </c>
      <c r="N581">
        <v>295.4570811960013</v>
      </c>
    </row>
    <row r="582" spans="1:14" hidden="1" x14ac:dyDescent="0.3">
      <c r="A582" s="1" t="s">
        <v>1655</v>
      </c>
      <c r="B582" s="1" t="s">
        <v>1649</v>
      </c>
      <c r="C582" s="1" t="s">
        <v>33</v>
      </c>
      <c r="D582">
        <v>1</v>
      </c>
      <c r="E582" s="1" t="s">
        <v>102</v>
      </c>
      <c r="F582" s="1" t="s">
        <v>1656</v>
      </c>
      <c r="G582">
        <v>0</v>
      </c>
      <c r="H582" s="1" t="s">
        <v>102</v>
      </c>
      <c r="I582">
        <v>512.01876424889235</v>
      </c>
      <c r="J582" s="1" t="s">
        <v>1657</v>
      </c>
      <c r="K582">
        <v>0</v>
      </c>
      <c r="L582">
        <v>179.05516748631374</v>
      </c>
      <c r="M582">
        <v>3603.6770000000001</v>
      </c>
      <c r="N582">
        <v>332.96359676257862</v>
      </c>
    </row>
    <row r="583" spans="1:14" hidden="1" x14ac:dyDescent="0.3">
      <c r="A583" s="1" t="s">
        <v>1664</v>
      </c>
      <c r="B583" s="1" t="s">
        <v>1649</v>
      </c>
      <c r="C583" s="1" t="s">
        <v>33</v>
      </c>
      <c r="D583">
        <v>2</v>
      </c>
      <c r="E583" s="1" t="s">
        <v>102</v>
      </c>
      <c r="F583" s="1" t="s">
        <v>1665</v>
      </c>
      <c r="G583">
        <v>0</v>
      </c>
      <c r="H583" s="1" t="s">
        <v>102</v>
      </c>
      <c r="I583">
        <v>493.06308198393799</v>
      </c>
      <c r="J583" s="1" t="s">
        <v>1666</v>
      </c>
      <c r="K583">
        <v>0</v>
      </c>
      <c r="L583">
        <v>206.05697680362081</v>
      </c>
      <c r="M583">
        <v>3603.6619999999998</v>
      </c>
      <c r="N583">
        <v>287.00610518031721</v>
      </c>
    </row>
    <row r="584" spans="1:14" hidden="1" x14ac:dyDescent="0.3">
      <c r="A584" s="1" t="s">
        <v>1670</v>
      </c>
      <c r="B584" s="1" t="s">
        <v>1649</v>
      </c>
      <c r="C584" s="1" t="s">
        <v>33</v>
      </c>
      <c r="D584">
        <v>3</v>
      </c>
      <c r="E584" s="1" t="s">
        <v>17</v>
      </c>
      <c r="F584" s="1" t="s">
        <v>1671</v>
      </c>
      <c r="G584">
        <v>0</v>
      </c>
      <c r="H584" s="1" t="s">
        <v>17</v>
      </c>
      <c r="I584">
        <v>396.84192610446109</v>
      </c>
      <c r="J584" s="1" t="s">
        <v>1672</v>
      </c>
      <c r="K584">
        <v>0</v>
      </c>
      <c r="L584">
        <v>73.176449475836677</v>
      </c>
      <c r="M584">
        <v>3600.2289999999998</v>
      </c>
      <c r="N584">
        <v>323.66547662862439</v>
      </c>
    </row>
    <row r="585" spans="1:14" hidden="1" x14ac:dyDescent="0.3">
      <c r="A585" s="1" t="s">
        <v>1678</v>
      </c>
      <c r="B585" s="1" t="s">
        <v>1649</v>
      </c>
      <c r="C585" s="1" t="s">
        <v>33</v>
      </c>
      <c r="D585">
        <v>4</v>
      </c>
      <c r="E585" s="1" t="s">
        <v>17</v>
      </c>
      <c r="F585" s="1" t="s">
        <v>1679</v>
      </c>
      <c r="G585">
        <v>0</v>
      </c>
      <c r="H585" s="1" t="s">
        <v>17</v>
      </c>
      <c r="I585">
        <v>429.10312486738792</v>
      </c>
      <c r="J585" s="1" t="s">
        <v>1680</v>
      </c>
      <c r="K585">
        <v>0</v>
      </c>
      <c r="L585">
        <v>123.18665544117677</v>
      </c>
      <c r="M585">
        <v>3601.1060000000002</v>
      </c>
      <c r="N585">
        <v>305.91646942621117</v>
      </c>
    </row>
    <row r="586" spans="1:14" hidden="1" x14ac:dyDescent="0.3">
      <c r="A586" s="1" t="s">
        <v>1673</v>
      </c>
      <c r="B586" s="1" t="s">
        <v>1649</v>
      </c>
      <c r="C586" s="1" t="s">
        <v>33</v>
      </c>
      <c r="D586">
        <v>3</v>
      </c>
      <c r="E586" s="1" t="s">
        <v>102</v>
      </c>
      <c r="F586" s="1" t="s">
        <v>1674</v>
      </c>
      <c r="G586">
        <v>0</v>
      </c>
      <c r="H586" s="1" t="s">
        <v>102</v>
      </c>
      <c r="I586">
        <v>462.66549612787236</v>
      </c>
      <c r="J586" s="1" t="s">
        <v>1675</v>
      </c>
      <c r="K586">
        <v>0</v>
      </c>
      <c r="L586">
        <v>136.2873965141805</v>
      </c>
      <c r="M586">
        <v>3603.366</v>
      </c>
      <c r="N586">
        <v>326.37809961369186</v>
      </c>
    </row>
    <row r="587" spans="1:14" hidden="1" x14ac:dyDescent="0.3">
      <c r="A587" s="1" t="s">
        <v>1681</v>
      </c>
      <c r="B587" s="1" t="s">
        <v>1649</v>
      </c>
      <c r="C587" s="1" t="s">
        <v>33</v>
      </c>
      <c r="D587">
        <v>4</v>
      </c>
      <c r="E587" s="1" t="s">
        <v>102</v>
      </c>
      <c r="F587" s="1" t="s">
        <v>1682</v>
      </c>
      <c r="G587">
        <v>0</v>
      </c>
      <c r="H587" s="1" t="s">
        <v>102</v>
      </c>
      <c r="I587">
        <v>452.15871014547923</v>
      </c>
      <c r="J587" s="1" t="s">
        <v>1675</v>
      </c>
      <c r="K587">
        <v>0</v>
      </c>
      <c r="L587">
        <v>151.80899650822744</v>
      </c>
      <c r="M587">
        <v>3603.3330000000001</v>
      </c>
      <c r="N587">
        <v>300.3497136372518</v>
      </c>
    </row>
    <row r="588" spans="1:14" hidden="1" x14ac:dyDescent="0.3">
      <c r="A588" s="1" t="s">
        <v>1685</v>
      </c>
      <c r="B588" s="1" t="s">
        <v>1649</v>
      </c>
      <c r="C588" s="1" t="s">
        <v>33</v>
      </c>
      <c r="D588">
        <v>5</v>
      </c>
      <c r="E588" s="1" t="s">
        <v>17</v>
      </c>
      <c r="F588" s="1" t="s">
        <v>1686</v>
      </c>
      <c r="G588">
        <v>0</v>
      </c>
      <c r="H588" s="1" t="s">
        <v>17</v>
      </c>
      <c r="I588">
        <v>393.01949209820719</v>
      </c>
      <c r="J588" s="1" t="s">
        <v>1687</v>
      </c>
      <c r="K588">
        <v>0</v>
      </c>
      <c r="L588">
        <v>84.337484450147542</v>
      </c>
      <c r="M588">
        <v>3600.9560000000001</v>
      </c>
      <c r="N588">
        <v>308.68200764805965</v>
      </c>
    </row>
    <row r="589" spans="1:14" hidden="1" x14ac:dyDescent="0.3">
      <c r="A589" s="1" t="s">
        <v>1688</v>
      </c>
      <c r="B589" s="1" t="s">
        <v>1649</v>
      </c>
      <c r="C589" s="1" t="s">
        <v>33</v>
      </c>
      <c r="D589">
        <v>5</v>
      </c>
      <c r="E589" s="1" t="s">
        <v>102</v>
      </c>
      <c r="F589" s="1" t="s">
        <v>1689</v>
      </c>
      <c r="G589">
        <v>0</v>
      </c>
      <c r="H589" s="1" t="s">
        <v>102</v>
      </c>
      <c r="I589">
        <v>487.9726660085289</v>
      </c>
      <c r="J589" s="1" t="s">
        <v>1690</v>
      </c>
      <c r="K589">
        <v>0</v>
      </c>
      <c r="L589">
        <v>183.84296130173738</v>
      </c>
      <c r="M589">
        <v>3602.9119999999998</v>
      </c>
      <c r="N589">
        <v>304.12970470679153</v>
      </c>
    </row>
    <row r="590" spans="1:14" hidden="1" x14ac:dyDescent="0.3">
      <c r="A590" s="1" t="s">
        <v>1566</v>
      </c>
      <c r="B590" s="1" t="s">
        <v>1567</v>
      </c>
      <c r="C590" s="1" t="s">
        <v>29</v>
      </c>
      <c r="D590">
        <v>1</v>
      </c>
      <c r="E590" s="1" t="s">
        <v>16</v>
      </c>
      <c r="F590" s="1" t="s">
        <v>1568</v>
      </c>
      <c r="G590">
        <v>0</v>
      </c>
      <c r="H590" s="1" t="s">
        <v>16</v>
      </c>
      <c r="I590">
        <v>183.37280830517034</v>
      </c>
      <c r="J590" s="1" t="s">
        <v>1569</v>
      </c>
      <c r="K590">
        <v>0</v>
      </c>
      <c r="L590">
        <v>23.092051397622477</v>
      </c>
      <c r="M590">
        <v>3600.6759999999999</v>
      </c>
      <c r="N590">
        <v>160.28075690754787</v>
      </c>
    </row>
    <row r="591" spans="1:14" hidden="1" x14ac:dyDescent="0.3">
      <c r="A591" s="1" t="s">
        <v>1576</v>
      </c>
      <c r="B591" s="1" t="s">
        <v>1567</v>
      </c>
      <c r="C591" s="1" t="s">
        <v>29</v>
      </c>
      <c r="D591">
        <v>2</v>
      </c>
      <c r="E591" s="1" t="s">
        <v>16</v>
      </c>
      <c r="F591" s="1" t="s">
        <v>1577</v>
      </c>
      <c r="G591">
        <v>0</v>
      </c>
      <c r="H591" s="1" t="s">
        <v>16</v>
      </c>
      <c r="I591">
        <v>196.21432586195203</v>
      </c>
      <c r="J591" s="1" t="s">
        <v>1578</v>
      </c>
      <c r="K591">
        <v>0</v>
      </c>
      <c r="L591">
        <v>50.012430448141714</v>
      </c>
      <c r="M591">
        <v>3600.1640000000002</v>
      </c>
      <c r="N591">
        <v>146.20189541381032</v>
      </c>
    </row>
    <row r="592" spans="1:14" hidden="1" x14ac:dyDescent="0.3">
      <c r="A592" s="1" t="s">
        <v>1581</v>
      </c>
      <c r="B592" s="1" t="s">
        <v>1567</v>
      </c>
      <c r="C592" s="1" t="s">
        <v>29</v>
      </c>
      <c r="D592">
        <v>3</v>
      </c>
      <c r="E592" s="1" t="s">
        <v>16</v>
      </c>
      <c r="F592" s="1" t="s">
        <v>1582</v>
      </c>
      <c r="G592">
        <v>0</v>
      </c>
      <c r="H592" s="1" t="s">
        <v>16</v>
      </c>
      <c r="I592">
        <v>223.84969477670546</v>
      </c>
      <c r="J592" s="1" t="s">
        <v>1583</v>
      </c>
      <c r="K592">
        <v>0</v>
      </c>
      <c r="L592">
        <v>55.391096426387257</v>
      </c>
      <c r="M592">
        <v>3600.6990000000001</v>
      </c>
      <c r="N592">
        <v>168.4585983503182</v>
      </c>
    </row>
    <row r="593" spans="1:14" hidden="1" x14ac:dyDescent="0.3">
      <c r="A593" s="1" t="s">
        <v>1590</v>
      </c>
      <c r="B593" s="1" t="s">
        <v>1567</v>
      </c>
      <c r="C593" s="1" t="s">
        <v>29</v>
      </c>
      <c r="D593">
        <v>4</v>
      </c>
      <c r="E593" s="1" t="s">
        <v>16</v>
      </c>
      <c r="F593" s="1" t="s">
        <v>1591</v>
      </c>
      <c r="G593">
        <v>0</v>
      </c>
      <c r="H593" s="1" t="s">
        <v>16</v>
      </c>
      <c r="I593">
        <v>169.21303561650905</v>
      </c>
      <c r="J593" s="1" t="s">
        <v>1592</v>
      </c>
      <c r="K593">
        <v>0</v>
      </c>
      <c r="L593">
        <v>32.730883634007142</v>
      </c>
      <c r="M593">
        <v>3600.94</v>
      </c>
      <c r="N593">
        <v>136.4821519825019</v>
      </c>
    </row>
    <row r="594" spans="1:14" hidden="1" x14ac:dyDescent="0.3">
      <c r="A594" s="1" t="s">
        <v>1597</v>
      </c>
      <c r="B594" s="1" t="s">
        <v>1567</v>
      </c>
      <c r="C594" s="1" t="s">
        <v>29</v>
      </c>
      <c r="D594">
        <v>5</v>
      </c>
      <c r="E594" s="1" t="s">
        <v>16</v>
      </c>
      <c r="F594" s="1" t="s">
        <v>1598</v>
      </c>
      <c r="G594">
        <v>0</v>
      </c>
      <c r="H594" s="1" t="s">
        <v>16</v>
      </c>
      <c r="I594">
        <v>173.0849769117732</v>
      </c>
      <c r="J594" s="1" t="s">
        <v>1599</v>
      </c>
      <c r="K594">
        <v>0</v>
      </c>
      <c r="L594">
        <v>10.772864582994501</v>
      </c>
      <c r="M594">
        <v>3600.1930000000002</v>
      </c>
      <c r="N594">
        <v>162.31211232877871</v>
      </c>
    </row>
    <row r="595" spans="1:14" hidden="1" x14ac:dyDescent="0.3">
      <c r="A595" s="1" t="s">
        <v>1606</v>
      </c>
      <c r="B595" s="1" t="s">
        <v>1607</v>
      </c>
      <c r="C595" s="1" t="s">
        <v>31</v>
      </c>
      <c r="D595">
        <v>1</v>
      </c>
      <c r="E595" s="1" t="s">
        <v>16</v>
      </c>
      <c r="F595" s="1" t="s">
        <v>1608</v>
      </c>
      <c r="G595">
        <v>0</v>
      </c>
      <c r="H595" s="1" t="s">
        <v>16</v>
      </c>
      <c r="I595">
        <v>258.54453833859736</v>
      </c>
      <c r="J595" s="1" t="s">
        <v>1609</v>
      </c>
      <c r="K595">
        <v>0</v>
      </c>
      <c r="L595">
        <v>45.845143309097693</v>
      </c>
      <c r="M595">
        <v>3600.09</v>
      </c>
      <c r="N595">
        <v>212.6993950294997</v>
      </c>
    </row>
    <row r="596" spans="1:14" hidden="1" x14ac:dyDescent="0.3">
      <c r="A596" s="1" t="s">
        <v>1614</v>
      </c>
      <c r="B596" s="1" t="s">
        <v>1607</v>
      </c>
      <c r="C596" s="1" t="s">
        <v>31</v>
      </c>
      <c r="D596">
        <v>2</v>
      </c>
      <c r="E596" s="1" t="s">
        <v>16</v>
      </c>
      <c r="F596" s="1" t="s">
        <v>1615</v>
      </c>
      <c r="G596">
        <v>0</v>
      </c>
      <c r="H596" s="1" t="s">
        <v>16</v>
      </c>
      <c r="I596">
        <v>265.61777859962569</v>
      </c>
      <c r="J596" s="1" t="s">
        <v>1609</v>
      </c>
      <c r="K596">
        <v>0</v>
      </c>
      <c r="L596">
        <v>44.83356881484444</v>
      </c>
      <c r="M596">
        <v>3600.15</v>
      </c>
      <c r="N596">
        <v>220.78420978478124</v>
      </c>
    </row>
    <row r="597" spans="1:14" hidden="1" x14ac:dyDescent="0.3">
      <c r="A597" s="1" t="s">
        <v>1622</v>
      </c>
      <c r="B597" s="1" t="s">
        <v>1607</v>
      </c>
      <c r="C597" s="1" t="s">
        <v>31</v>
      </c>
      <c r="D597">
        <v>3</v>
      </c>
      <c r="E597" s="1" t="s">
        <v>16</v>
      </c>
      <c r="F597" s="1" t="s">
        <v>1623</v>
      </c>
      <c r="G597">
        <v>0</v>
      </c>
      <c r="H597" s="1" t="s">
        <v>16</v>
      </c>
      <c r="I597">
        <v>252.60528065743807</v>
      </c>
      <c r="J597" s="1" t="s">
        <v>1624</v>
      </c>
      <c r="K597">
        <v>0</v>
      </c>
      <c r="L597">
        <v>40.01968182604007</v>
      </c>
      <c r="M597">
        <v>3600.2579999999998</v>
      </c>
      <c r="N597">
        <v>212.58559883139802</v>
      </c>
    </row>
    <row r="598" spans="1:14" hidden="1" x14ac:dyDescent="0.3">
      <c r="A598" s="1" t="s">
        <v>1630</v>
      </c>
      <c r="B598" s="1" t="s">
        <v>1607</v>
      </c>
      <c r="C598" s="1" t="s">
        <v>31</v>
      </c>
      <c r="D598">
        <v>4</v>
      </c>
      <c r="E598" s="1" t="s">
        <v>16</v>
      </c>
      <c r="F598" s="1" t="s">
        <v>1631</v>
      </c>
      <c r="G598">
        <v>0</v>
      </c>
      <c r="H598" s="1" t="s">
        <v>16</v>
      </c>
      <c r="I598">
        <v>280.69345257135177</v>
      </c>
      <c r="J598" s="1" t="s">
        <v>1632</v>
      </c>
      <c r="K598">
        <v>0</v>
      </c>
      <c r="L598">
        <v>45.167325916232393</v>
      </c>
      <c r="M598">
        <v>3600.8130000000001</v>
      </c>
      <c r="N598">
        <v>235.52612665511936</v>
      </c>
    </row>
    <row r="599" spans="1:14" hidden="1" x14ac:dyDescent="0.3">
      <c r="A599" s="1" t="s">
        <v>1639</v>
      </c>
      <c r="B599" s="1" t="s">
        <v>1607</v>
      </c>
      <c r="C599" s="1" t="s">
        <v>31</v>
      </c>
      <c r="D599">
        <v>5</v>
      </c>
      <c r="E599" s="1" t="s">
        <v>16</v>
      </c>
      <c r="F599" s="1" t="s">
        <v>1640</v>
      </c>
      <c r="G599">
        <v>0</v>
      </c>
      <c r="H599" s="1" t="s">
        <v>16</v>
      </c>
      <c r="I599">
        <v>295.91031548807416</v>
      </c>
      <c r="J599" s="1" t="s">
        <v>1641</v>
      </c>
      <c r="K599">
        <v>0</v>
      </c>
      <c r="L599">
        <v>76.451999001346906</v>
      </c>
      <c r="M599">
        <v>3600.6889999999999</v>
      </c>
      <c r="N599">
        <v>219.45831648672726</v>
      </c>
    </row>
    <row r="600" spans="1:14" hidden="1" x14ac:dyDescent="0.3">
      <c r="A600" s="1" t="s">
        <v>1648</v>
      </c>
      <c r="B600" s="1" t="s">
        <v>1649</v>
      </c>
      <c r="C600" s="1" t="s">
        <v>33</v>
      </c>
      <c r="D600">
        <v>1</v>
      </c>
      <c r="E600" s="1" t="s">
        <v>16</v>
      </c>
      <c r="F600" s="1" t="s">
        <v>1650</v>
      </c>
      <c r="G600">
        <v>0</v>
      </c>
      <c r="H600" s="1" t="s">
        <v>16</v>
      </c>
      <c r="I600">
        <v>396.1062298661318</v>
      </c>
      <c r="J600" s="1" t="s">
        <v>1651</v>
      </c>
      <c r="K600">
        <v>0</v>
      </c>
      <c r="L600">
        <v>66.485086612349477</v>
      </c>
      <c r="M600">
        <v>3600.5650000000001</v>
      </c>
      <c r="N600">
        <v>329.62114325378235</v>
      </c>
    </row>
    <row r="601" spans="1:14" hidden="1" x14ac:dyDescent="0.3">
      <c r="A601" s="1" t="s">
        <v>1658</v>
      </c>
      <c r="B601" s="1" t="s">
        <v>1649</v>
      </c>
      <c r="C601" s="1" t="s">
        <v>33</v>
      </c>
      <c r="D601">
        <v>2</v>
      </c>
      <c r="E601" s="1" t="s">
        <v>16</v>
      </c>
      <c r="F601" s="1" t="s">
        <v>1659</v>
      </c>
      <c r="G601">
        <v>0</v>
      </c>
      <c r="H601" s="1" t="s">
        <v>16</v>
      </c>
      <c r="I601">
        <v>372.2120198442268</v>
      </c>
      <c r="J601" s="1" t="s">
        <v>1660</v>
      </c>
      <c r="K601">
        <v>0</v>
      </c>
      <c r="L601">
        <v>77.85001341353049</v>
      </c>
      <c r="M601">
        <v>3600.1770000000001</v>
      </c>
      <c r="N601">
        <v>294.36200643069628</v>
      </c>
    </row>
    <row r="602" spans="1:14" hidden="1" x14ac:dyDescent="0.3">
      <c r="A602" s="1" t="s">
        <v>1667</v>
      </c>
      <c r="B602" s="1" t="s">
        <v>1649</v>
      </c>
      <c r="C602" s="1" t="s">
        <v>33</v>
      </c>
      <c r="D602">
        <v>3</v>
      </c>
      <c r="E602" s="1" t="s">
        <v>16</v>
      </c>
      <c r="F602" s="1" t="s">
        <v>1668</v>
      </c>
      <c r="G602">
        <v>0</v>
      </c>
      <c r="H602" s="1" t="s">
        <v>16</v>
      </c>
      <c r="I602">
        <v>380.47026685783743</v>
      </c>
      <c r="J602" s="1" t="s">
        <v>1669</v>
      </c>
      <c r="K602">
        <v>0</v>
      </c>
      <c r="L602">
        <v>57.585581324953594</v>
      </c>
      <c r="M602">
        <v>3600.701</v>
      </c>
      <c r="N602">
        <v>322.88468553288385</v>
      </c>
    </row>
    <row r="603" spans="1:14" hidden="1" x14ac:dyDescent="0.3">
      <c r="A603" s="1" t="s">
        <v>1676</v>
      </c>
      <c r="B603" s="1" t="s">
        <v>1649</v>
      </c>
      <c r="C603" s="1" t="s">
        <v>33</v>
      </c>
      <c r="D603">
        <v>4</v>
      </c>
      <c r="E603" s="1" t="s">
        <v>16</v>
      </c>
      <c r="F603" s="1" t="s">
        <v>1677</v>
      </c>
      <c r="G603">
        <v>0</v>
      </c>
      <c r="H603" s="1" t="s">
        <v>16</v>
      </c>
      <c r="I603">
        <v>355.96800589413823</v>
      </c>
      <c r="J603" s="1" t="s">
        <v>1669</v>
      </c>
      <c r="K603">
        <v>0</v>
      </c>
      <c r="L603">
        <v>51.869772249223153</v>
      </c>
      <c r="M603">
        <v>3600.953</v>
      </c>
      <c r="N603">
        <v>304.09823364491507</v>
      </c>
    </row>
    <row r="604" spans="1:14" hidden="1" x14ac:dyDescent="0.3">
      <c r="A604" s="1" t="s">
        <v>1683</v>
      </c>
      <c r="B604" s="1" t="s">
        <v>1649</v>
      </c>
      <c r="C604" s="1" t="s">
        <v>33</v>
      </c>
      <c r="D604">
        <v>5</v>
      </c>
      <c r="E604" s="1" t="s">
        <v>16</v>
      </c>
      <c r="F604" s="1" t="s">
        <v>1684</v>
      </c>
      <c r="G604">
        <v>0</v>
      </c>
      <c r="H604" s="1" t="s">
        <v>16</v>
      </c>
      <c r="I604">
        <v>353.14750299095687</v>
      </c>
      <c r="J604" s="1" t="s">
        <v>1669</v>
      </c>
      <c r="K604">
        <v>0</v>
      </c>
      <c r="L604">
        <v>44.634553014240097</v>
      </c>
      <c r="M604">
        <v>3601.0920000000001</v>
      </c>
      <c r="N604">
        <v>308.51294997671675</v>
      </c>
    </row>
    <row r="605" spans="1:14" hidden="1" x14ac:dyDescent="0.3">
      <c r="A605" s="1" t="s">
        <v>1816</v>
      </c>
      <c r="B605" s="1" t="s">
        <v>1817</v>
      </c>
      <c r="C605" s="1" t="s">
        <v>1818</v>
      </c>
      <c r="D605">
        <v>1</v>
      </c>
      <c r="E605" s="1" t="s">
        <v>16</v>
      </c>
      <c r="F605" s="1" t="s">
        <v>1819</v>
      </c>
      <c r="G605">
        <v>0</v>
      </c>
      <c r="H605" s="1" t="s">
        <v>16</v>
      </c>
      <c r="I605">
        <v>236.63191595111198</v>
      </c>
      <c r="J605" s="1" t="s">
        <v>1820</v>
      </c>
      <c r="K605">
        <v>0</v>
      </c>
      <c r="L605">
        <v>48.600028347952268</v>
      </c>
      <c r="M605">
        <v>3600.7959999999998</v>
      </c>
      <c r="N605">
        <v>188.0318876031597</v>
      </c>
    </row>
    <row r="606" spans="1:14" hidden="1" x14ac:dyDescent="0.3">
      <c r="A606" s="1" t="s">
        <v>1827</v>
      </c>
      <c r="B606" s="1" t="s">
        <v>1817</v>
      </c>
      <c r="C606" s="1" t="s">
        <v>1818</v>
      </c>
      <c r="D606">
        <v>2</v>
      </c>
      <c r="E606" s="1" t="s">
        <v>16</v>
      </c>
      <c r="F606" s="1" t="s">
        <v>1819</v>
      </c>
      <c r="G606">
        <v>0</v>
      </c>
      <c r="H606" s="1" t="s">
        <v>16</v>
      </c>
      <c r="I606">
        <v>231.00597352899155</v>
      </c>
      <c r="J606" s="1" t="s">
        <v>1820</v>
      </c>
      <c r="K606">
        <v>0</v>
      </c>
      <c r="L606">
        <v>37.174208022291637</v>
      </c>
      <c r="M606">
        <v>3600.5419999999999</v>
      </c>
      <c r="N606">
        <v>193.83176550669992</v>
      </c>
    </row>
    <row r="607" spans="1:14" hidden="1" x14ac:dyDescent="0.3">
      <c r="A607" s="1" t="s">
        <v>1830</v>
      </c>
      <c r="B607" s="1" t="s">
        <v>1817</v>
      </c>
      <c r="C607" s="1" t="s">
        <v>1818</v>
      </c>
      <c r="D607">
        <v>3</v>
      </c>
      <c r="E607" s="1" t="s">
        <v>16</v>
      </c>
      <c r="F607" s="1" t="s">
        <v>1819</v>
      </c>
      <c r="G607">
        <v>0</v>
      </c>
      <c r="H607" s="1" t="s">
        <v>16</v>
      </c>
      <c r="I607">
        <v>215.70167840998442</v>
      </c>
      <c r="J607" s="1" t="s">
        <v>1820</v>
      </c>
      <c r="K607">
        <v>0</v>
      </c>
      <c r="L607">
        <v>20.048949884692448</v>
      </c>
      <c r="M607">
        <v>3600.3539999999998</v>
      </c>
      <c r="N607">
        <v>195.65272852529196</v>
      </c>
    </row>
    <row r="608" spans="1:14" hidden="1" x14ac:dyDescent="0.3">
      <c r="A608" s="1" t="s">
        <v>1836</v>
      </c>
      <c r="B608" s="1" t="s">
        <v>1817</v>
      </c>
      <c r="C608" s="1" t="s">
        <v>1818</v>
      </c>
      <c r="D608">
        <v>4</v>
      </c>
      <c r="E608" s="1" t="s">
        <v>16</v>
      </c>
      <c r="F608" s="1" t="s">
        <v>1819</v>
      </c>
      <c r="G608">
        <v>0</v>
      </c>
      <c r="H608" s="1" t="s">
        <v>16</v>
      </c>
      <c r="I608">
        <v>238.23601578303894</v>
      </c>
      <c r="J608" s="1" t="s">
        <v>1820</v>
      </c>
      <c r="K608">
        <v>0</v>
      </c>
      <c r="L608">
        <v>60.54188139300792</v>
      </c>
      <c r="M608">
        <v>3600.627</v>
      </c>
      <c r="N608">
        <v>177.69413439003102</v>
      </c>
    </row>
    <row r="609" spans="1:14" hidden="1" x14ac:dyDescent="0.3">
      <c r="A609" s="1" t="s">
        <v>1841</v>
      </c>
      <c r="B609" s="1" t="s">
        <v>1817</v>
      </c>
      <c r="C609" s="1" t="s">
        <v>1818</v>
      </c>
      <c r="D609">
        <v>5</v>
      </c>
      <c r="E609" s="1" t="s">
        <v>16</v>
      </c>
      <c r="F609" s="1" t="s">
        <v>1819</v>
      </c>
      <c r="G609">
        <v>0</v>
      </c>
      <c r="H609" s="1" t="s">
        <v>16</v>
      </c>
      <c r="I609">
        <v>233.85783856868341</v>
      </c>
      <c r="J609" s="1" t="s">
        <v>1820</v>
      </c>
      <c r="K609">
        <v>0</v>
      </c>
      <c r="L609">
        <v>52.824499445331256</v>
      </c>
      <c r="M609">
        <v>3600.5889999999999</v>
      </c>
      <c r="N609">
        <v>181.03333912335216</v>
      </c>
    </row>
    <row r="610" spans="1:14" hidden="1" x14ac:dyDescent="0.3">
      <c r="A610" s="1" t="s">
        <v>1821</v>
      </c>
      <c r="B610" s="1" t="s">
        <v>1817</v>
      </c>
      <c r="C610" s="1" t="s">
        <v>1818</v>
      </c>
      <c r="D610">
        <v>1</v>
      </c>
      <c r="E610" s="1" t="s">
        <v>17</v>
      </c>
      <c r="F610" s="1" t="s">
        <v>1822</v>
      </c>
      <c r="G610">
        <v>0</v>
      </c>
      <c r="H610" s="1" t="s">
        <v>17</v>
      </c>
      <c r="I610">
        <v>234.79065086874689</v>
      </c>
      <c r="J610" s="1" t="s">
        <v>1823</v>
      </c>
      <c r="K610">
        <v>0</v>
      </c>
      <c r="L610">
        <v>46.394234877561502</v>
      </c>
      <c r="M610">
        <v>3600.558</v>
      </c>
      <c r="N610">
        <v>188.39641599118539</v>
      </c>
    </row>
    <row r="611" spans="1:14" hidden="1" x14ac:dyDescent="0.3">
      <c r="A611" s="1" t="s">
        <v>1828</v>
      </c>
      <c r="B611" s="1" t="s">
        <v>1817</v>
      </c>
      <c r="C611" s="1" t="s">
        <v>1818</v>
      </c>
      <c r="D611">
        <v>2</v>
      </c>
      <c r="E611" s="1" t="s">
        <v>17</v>
      </c>
      <c r="F611" s="1" t="s">
        <v>1822</v>
      </c>
      <c r="G611">
        <v>0</v>
      </c>
      <c r="H611" s="1" t="s">
        <v>17</v>
      </c>
      <c r="I611">
        <v>244.25921840916709</v>
      </c>
      <c r="J611" s="1" t="s">
        <v>1823</v>
      </c>
      <c r="K611">
        <v>0</v>
      </c>
      <c r="L611">
        <v>49.744665907114324</v>
      </c>
      <c r="M611">
        <v>3601.2750000000001</v>
      </c>
      <c r="N611">
        <v>194.51455250205277</v>
      </c>
    </row>
    <row r="612" spans="1:14" hidden="1" x14ac:dyDescent="0.3">
      <c r="A612" s="1" t="s">
        <v>1837</v>
      </c>
      <c r="B612" s="1" t="s">
        <v>1817</v>
      </c>
      <c r="C612" s="1" t="s">
        <v>1818</v>
      </c>
      <c r="D612">
        <v>4</v>
      </c>
      <c r="E612" s="1" t="s">
        <v>17</v>
      </c>
      <c r="F612" s="1" t="s">
        <v>1822</v>
      </c>
      <c r="G612">
        <v>0</v>
      </c>
      <c r="H612" s="1" t="s">
        <v>17</v>
      </c>
      <c r="I612">
        <v>267.88404015401363</v>
      </c>
      <c r="J612" s="1" t="s">
        <v>1823</v>
      </c>
      <c r="K612">
        <v>0</v>
      </c>
      <c r="L612">
        <v>92.680000704197411</v>
      </c>
      <c r="M612">
        <v>3601.279</v>
      </c>
      <c r="N612">
        <v>175.20403944981621</v>
      </c>
    </row>
    <row r="613" spans="1:14" hidden="1" x14ac:dyDescent="0.3">
      <c r="A613" s="1" t="s">
        <v>1831</v>
      </c>
      <c r="B613" s="1" t="s">
        <v>1817</v>
      </c>
      <c r="C613" s="1" t="s">
        <v>1818</v>
      </c>
      <c r="D613">
        <v>3</v>
      </c>
      <c r="E613" s="1" t="s">
        <v>17</v>
      </c>
      <c r="F613" s="1" t="s">
        <v>1832</v>
      </c>
      <c r="G613">
        <v>0</v>
      </c>
      <c r="H613" s="1" t="s">
        <v>17</v>
      </c>
      <c r="I613">
        <v>251.42483025348082</v>
      </c>
      <c r="J613" s="1" t="s">
        <v>1823</v>
      </c>
      <c r="K613">
        <v>0</v>
      </c>
      <c r="L613">
        <v>54.718803405041896</v>
      </c>
      <c r="M613">
        <v>3601.2280000000001</v>
      </c>
      <c r="N613">
        <v>196.70602684843891</v>
      </c>
    </row>
    <row r="614" spans="1:14" hidden="1" x14ac:dyDescent="0.3">
      <c r="A614" s="1" t="s">
        <v>1848</v>
      </c>
      <c r="B614" s="1" t="s">
        <v>1849</v>
      </c>
      <c r="C614" s="1" t="s">
        <v>1850</v>
      </c>
      <c r="D614">
        <v>1</v>
      </c>
      <c r="E614" s="1" t="s">
        <v>16</v>
      </c>
      <c r="F614" s="1" t="s">
        <v>1851</v>
      </c>
      <c r="G614">
        <v>0</v>
      </c>
      <c r="H614" s="1" t="s">
        <v>16</v>
      </c>
      <c r="I614">
        <v>328.88488801142933</v>
      </c>
      <c r="J614" s="1" t="s">
        <v>1852</v>
      </c>
      <c r="K614">
        <v>0</v>
      </c>
      <c r="L614">
        <v>41.478687433288727</v>
      </c>
      <c r="M614">
        <v>3600.19</v>
      </c>
      <c r="N614">
        <v>287.40620057814061</v>
      </c>
    </row>
    <row r="615" spans="1:14" hidden="1" x14ac:dyDescent="0.3">
      <c r="A615" s="1" t="s">
        <v>1857</v>
      </c>
      <c r="B615" s="1" t="s">
        <v>1849</v>
      </c>
      <c r="C615" s="1" t="s">
        <v>1850</v>
      </c>
      <c r="D615">
        <v>2</v>
      </c>
      <c r="E615" s="1" t="s">
        <v>16</v>
      </c>
      <c r="F615" s="1" t="s">
        <v>1858</v>
      </c>
      <c r="G615">
        <v>0</v>
      </c>
      <c r="H615" s="1" t="s">
        <v>16</v>
      </c>
      <c r="I615">
        <v>388.12634309343548</v>
      </c>
      <c r="J615" s="1" t="s">
        <v>1852</v>
      </c>
      <c r="K615">
        <v>0</v>
      </c>
      <c r="L615">
        <v>81.668004310539814</v>
      </c>
      <c r="M615">
        <v>3600.5619999999999</v>
      </c>
      <c r="N615">
        <v>306.45833878289568</v>
      </c>
    </row>
    <row r="616" spans="1:14" hidden="1" x14ac:dyDescent="0.3">
      <c r="A616" s="1" t="s">
        <v>1864</v>
      </c>
      <c r="B616" s="1" t="s">
        <v>1849</v>
      </c>
      <c r="C616" s="1" t="s">
        <v>1850</v>
      </c>
      <c r="D616">
        <v>3</v>
      </c>
      <c r="E616" s="1" t="s">
        <v>16</v>
      </c>
      <c r="F616" s="1" t="s">
        <v>1865</v>
      </c>
      <c r="G616">
        <v>0</v>
      </c>
      <c r="H616" s="1" t="s">
        <v>16</v>
      </c>
      <c r="I616">
        <v>370.57175348148411</v>
      </c>
      <c r="J616" s="1" t="s">
        <v>1852</v>
      </c>
      <c r="K616">
        <v>0</v>
      </c>
      <c r="L616">
        <v>73.841226720117675</v>
      </c>
      <c r="M616">
        <v>3600.777</v>
      </c>
      <c r="N616">
        <v>296.73052676136643</v>
      </c>
    </row>
    <row r="617" spans="1:14" hidden="1" x14ac:dyDescent="0.3">
      <c r="A617" s="1" t="s">
        <v>1871</v>
      </c>
      <c r="B617" s="1" t="s">
        <v>1849</v>
      </c>
      <c r="C617" s="1" t="s">
        <v>1850</v>
      </c>
      <c r="D617">
        <v>4</v>
      </c>
      <c r="E617" s="1" t="s">
        <v>16</v>
      </c>
      <c r="F617" s="1" t="s">
        <v>1872</v>
      </c>
      <c r="G617">
        <v>0</v>
      </c>
      <c r="H617" s="1" t="s">
        <v>16</v>
      </c>
      <c r="I617">
        <v>325.84439678275163</v>
      </c>
      <c r="J617" s="1" t="s">
        <v>1852</v>
      </c>
      <c r="K617">
        <v>0</v>
      </c>
      <c r="L617">
        <v>48.576765160638232</v>
      </c>
      <c r="M617">
        <v>3600.2739999999999</v>
      </c>
      <c r="N617">
        <v>277.26763162211341</v>
      </c>
    </row>
    <row r="618" spans="1:14" hidden="1" x14ac:dyDescent="0.3">
      <c r="A618" s="1" t="s">
        <v>1879</v>
      </c>
      <c r="B618" s="1" t="s">
        <v>1849</v>
      </c>
      <c r="C618" s="1" t="s">
        <v>1850</v>
      </c>
      <c r="D618">
        <v>5</v>
      </c>
      <c r="E618" s="1" t="s">
        <v>16</v>
      </c>
      <c r="F618" s="1" t="s">
        <v>1880</v>
      </c>
      <c r="G618">
        <v>0</v>
      </c>
      <c r="H618" s="1" t="s">
        <v>16</v>
      </c>
      <c r="I618">
        <v>283.65999110412207</v>
      </c>
      <c r="J618" s="1" t="s">
        <v>1852</v>
      </c>
      <c r="K618">
        <v>0</v>
      </c>
      <c r="L618">
        <v>52.948389779740431</v>
      </c>
      <c r="M618">
        <v>3600.9389999999999</v>
      </c>
      <c r="N618">
        <v>230.71160132438163</v>
      </c>
    </row>
    <row r="619" spans="1:14" hidden="1" x14ac:dyDescent="0.3">
      <c r="A619" s="1" t="s">
        <v>1842</v>
      </c>
      <c r="B619" s="1" t="s">
        <v>1817</v>
      </c>
      <c r="C619" s="1" t="s">
        <v>1818</v>
      </c>
      <c r="D619">
        <v>5</v>
      </c>
      <c r="E619" s="1" t="s">
        <v>17</v>
      </c>
      <c r="F619" s="1" t="s">
        <v>1843</v>
      </c>
      <c r="G619">
        <v>0</v>
      </c>
      <c r="H619" s="1" t="s">
        <v>17</v>
      </c>
      <c r="I619">
        <v>251.61806220526543</v>
      </c>
      <c r="J619" s="1" t="s">
        <v>1844</v>
      </c>
      <c r="K619">
        <v>0</v>
      </c>
      <c r="L619">
        <v>71.022195138595038</v>
      </c>
      <c r="M619">
        <v>3600.2460000000001</v>
      </c>
      <c r="N619">
        <v>180.59586706667039</v>
      </c>
    </row>
    <row r="620" spans="1:14" hidden="1" x14ac:dyDescent="0.3">
      <c r="A620" s="1" t="s">
        <v>1853</v>
      </c>
      <c r="B620" s="1" t="s">
        <v>1849</v>
      </c>
      <c r="C620" s="1" t="s">
        <v>1850</v>
      </c>
      <c r="D620">
        <v>1</v>
      </c>
      <c r="E620" s="1" t="s">
        <v>17</v>
      </c>
      <c r="F620" s="1" t="s">
        <v>1854</v>
      </c>
      <c r="G620">
        <v>0</v>
      </c>
      <c r="H620" s="1" t="s">
        <v>17</v>
      </c>
      <c r="I620">
        <v>352.58550772426787</v>
      </c>
      <c r="J620" s="1" t="s">
        <v>1844</v>
      </c>
      <c r="K620">
        <v>0</v>
      </c>
      <c r="L620">
        <v>66.374162550196914</v>
      </c>
      <c r="M620">
        <v>3600.681</v>
      </c>
      <c r="N620">
        <v>286.21134517407097</v>
      </c>
    </row>
    <row r="621" spans="1:14" hidden="1" x14ac:dyDescent="0.3">
      <c r="A621" s="1" t="s">
        <v>1859</v>
      </c>
      <c r="B621" s="1" t="s">
        <v>1849</v>
      </c>
      <c r="C621" s="1" t="s">
        <v>1850</v>
      </c>
      <c r="D621">
        <v>2</v>
      </c>
      <c r="E621" s="1" t="s">
        <v>17</v>
      </c>
      <c r="F621" s="1" t="s">
        <v>1860</v>
      </c>
      <c r="G621">
        <v>0</v>
      </c>
      <c r="H621" s="1" t="s">
        <v>17</v>
      </c>
      <c r="I621">
        <v>434.44476397121673</v>
      </c>
      <c r="J621" s="1" t="s">
        <v>1844</v>
      </c>
      <c r="K621">
        <v>0</v>
      </c>
      <c r="L621">
        <v>130.79450084086309</v>
      </c>
      <c r="M621">
        <v>3600.3429999999998</v>
      </c>
      <c r="N621">
        <v>303.65026313035361</v>
      </c>
    </row>
    <row r="622" spans="1:14" hidden="1" x14ac:dyDescent="0.3">
      <c r="A622" s="1" t="s">
        <v>1866</v>
      </c>
      <c r="B622" s="1" t="s">
        <v>1849</v>
      </c>
      <c r="C622" s="1" t="s">
        <v>1850</v>
      </c>
      <c r="D622">
        <v>3</v>
      </c>
      <c r="E622" s="1" t="s">
        <v>17</v>
      </c>
      <c r="F622" s="1" t="s">
        <v>1867</v>
      </c>
      <c r="G622">
        <v>0</v>
      </c>
      <c r="H622" s="1" t="s">
        <v>17</v>
      </c>
      <c r="I622">
        <v>439.33158638710199</v>
      </c>
      <c r="J622" s="1" t="s">
        <v>1844</v>
      </c>
      <c r="K622">
        <v>0</v>
      </c>
      <c r="L622">
        <v>141.87154500458556</v>
      </c>
      <c r="M622">
        <v>3600.3359999999998</v>
      </c>
      <c r="N622">
        <v>297.46004138251647</v>
      </c>
    </row>
    <row r="623" spans="1:14" hidden="1" x14ac:dyDescent="0.3">
      <c r="A623" s="1" t="s">
        <v>1873</v>
      </c>
      <c r="B623" s="1" t="s">
        <v>1849</v>
      </c>
      <c r="C623" s="1" t="s">
        <v>1850</v>
      </c>
      <c r="D623">
        <v>4</v>
      </c>
      <c r="E623" s="1" t="s">
        <v>17</v>
      </c>
      <c r="F623" s="1" t="s">
        <v>1874</v>
      </c>
      <c r="G623">
        <v>0</v>
      </c>
      <c r="H623" s="1" t="s">
        <v>17</v>
      </c>
      <c r="I623">
        <v>379.86534804127837</v>
      </c>
      <c r="J623" s="1" t="s">
        <v>1875</v>
      </c>
      <c r="K623">
        <v>0</v>
      </c>
      <c r="L623">
        <v>99.675497943154227</v>
      </c>
      <c r="M623">
        <v>3600.19</v>
      </c>
      <c r="N623">
        <v>280.18985009812417</v>
      </c>
    </row>
    <row r="624" spans="1:14" hidden="1" x14ac:dyDescent="0.3">
      <c r="A624" s="1" t="s">
        <v>1881</v>
      </c>
      <c r="B624" s="1" t="s">
        <v>1849</v>
      </c>
      <c r="C624" s="1" t="s">
        <v>1850</v>
      </c>
      <c r="D624">
        <v>5</v>
      </c>
      <c r="E624" s="1" t="s">
        <v>17</v>
      </c>
      <c r="F624" s="1" t="s">
        <v>1882</v>
      </c>
      <c r="G624">
        <v>0</v>
      </c>
      <c r="H624" s="1" t="s">
        <v>17</v>
      </c>
      <c r="I624">
        <v>293.56109496872045</v>
      </c>
      <c r="J624" s="1" t="s">
        <v>1883</v>
      </c>
      <c r="K624">
        <v>0</v>
      </c>
      <c r="L624">
        <v>63.527911329528074</v>
      </c>
      <c r="M624">
        <v>3600.4690000000001</v>
      </c>
      <c r="N624">
        <v>230.0331836391924</v>
      </c>
    </row>
    <row r="625" spans="1:14" hidden="1" x14ac:dyDescent="0.3">
      <c r="A625" s="1" t="s">
        <v>1824</v>
      </c>
      <c r="B625" s="1" t="s">
        <v>1817</v>
      </c>
      <c r="C625" s="1" t="s">
        <v>1818</v>
      </c>
      <c r="D625">
        <v>1</v>
      </c>
      <c r="E625" s="1" t="s">
        <v>102</v>
      </c>
      <c r="F625" s="1" t="s">
        <v>1825</v>
      </c>
      <c r="G625">
        <v>0</v>
      </c>
      <c r="H625" s="1" t="s">
        <v>102</v>
      </c>
      <c r="I625">
        <v>318.70549796758218</v>
      </c>
      <c r="J625" s="1" t="s">
        <v>1826</v>
      </c>
      <c r="K625">
        <v>0</v>
      </c>
      <c r="L625">
        <v>135.24690084172857</v>
      </c>
      <c r="M625">
        <v>3601.4810000000002</v>
      </c>
      <c r="N625">
        <v>183.4585971258536</v>
      </c>
    </row>
    <row r="626" spans="1:14" hidden="1" x14ac:dyDescent="0.3">
      <c r="A626" s="1" t="s">
        <v>1829</v>
      </c>
      <c r="B626" s="1" t="s">
        <v>1817</v>
      </c>
      <c r="C626" s="1" t="s">
        <v>1818</v>
      </c>
      <c r="D626">
        <v>2</v>
      </c>
      <c r="E626" s="1" t="s">
        <v>102</v>
      </c>
      <c r="F626" s="1" t="s">
        <v>1825</v>
      </c>
      <c r="G626">
        <v>0</v>
      </c>
      <c r="H626" s="1" t="s">
        <v>102</v>
      </c>
      <c r="I626">
        <v>279.65524240683482</v>
      </c>
      <c r="J626" s="1" t="s">
        <v>1826</v>
      </c>
      <c r="K626">
        <v>0</v>
      </c>
      <c r="L626">
        <v>88.855481844644871</v>
      </c>
      <c r="M626">
        <v>3601.8240000000001</v>
      </c>
      <c r="N626">
        <v>190.79976056218993</v>
      </c>
    </row>
    <row r="627" spans="1:14" hidden="1" x14ac:dyDescent="0.3">
      <c r="A627" s="1" t="s">
        <v>1833</v>
      </c>
      <c r="B627" s="1" t="s">
        <v>1817</v>
      </c>
      <c r="C627" s="1" t="s">
        <v>1818</v>
      </c>
      <c r="D627">
        <v>3</v>
      </c>
      <c r="E627" s="1" t="s">
        <v>102</v>
      </c>
      <c r="F627" s="1" t="s">
        <v>1834</v>
      </c>
      <c r="G627">
        <v>0</v>
      </c>
      <c r="H627" s="1" t="s">
        <v>102</v>
      </c>
      <c r="I627">
        <v>285.74842402040076</v>
      </c>
      <c r="J627" s="1" t="s">
        <v>1835</v>
      </c>
      <c r="K627">
        <v>0</v>
      </c>
      <c r="L627">
        <v>93.045962733727862</v>
      </c>
      <c r="M627">
        <v>3601.5520000000001</v>
      </c>
      <c r="N627">
        <v>192.7024612866729</v>
      </c>
    </row>
    <row r="628" spans="1:14" hidden="1" x14ac:dyDescent="0.3">
      <c r="A628" s="1" t="s">
        <v>1838</v>
      </c>
      <c r="B628" s="1" t="s">
        <v>1817</v>
      </c>
      <c r="C628" s="1" t="s">
        <v>1818</v>
      </c>
      <c r="D628">
        <v>4</v>
      </c>
      <c r="E628" s="1" t="s">
        <v>102</v>
      </c>
      <c r="F628" s="1" t="s">
        <v>1839</v>
      </c>
      <c r="G628">
        <v>0</v>
      </c>
      <c r="H628" s="1" t="s">
        <v>102</v>
      </c>
      <c r="I628">
        <v>318.2916898814089</v>
      </c>
      <c r="J628" s="1" t="s">
        <v>1840</v>
      </c>
      <c r="K628">
        <v>0</v>
      </c>
      <c r="L628">
        <v>144.89866432029655</v>
      </c>
      <c r="M628">
        <v>3601.4659999999999</v>
      </c>
      <c r="N628">
        <v>173.39302556111235</v>
      </c>
    </row>
    <row r="629" spans="1:14" hidden="1" x14ac:dyDescent="0.3">
      <c r="A629" s="1" t="s">
        <v>1845</v>
      </c>
      <c r="B629" s="1" t="s">
        <v>1817</v>
      </c>
      <c r="C629" s="1" t="s">
        <v>1818</v>
      </c>
      <c r="D629">
        <v>5</v>
      </c>
      <c r="E629" s="1" t="s">
        <v>102</v>
      </c>
      <c r="F629" s="1" t="s">
        <v>1846</v>
      </c>
      <c r="G629">
        <v>0</v>
      </c>
      <c r="H629" s="1" t="s">
        <v>102</v>
      </c>
      <c r="I629">
        <v>312.57751287446854</v>
      </c>
      <c r="J629" s="1" t="s">
        <v>1847</v>
      </c>
      <c r="K629">
        <v>0</v>
      </c>
      <c r="L629">
        <v>135.23691285104454</v>
      </c>
      <c r="M629">
        <v>3601.3969999999999</v>
      </c>
      <c r="N629">
        <v>177.34060002342397</v>
      </c>
    </row>
    <row r="630" spans="1:14" hidden="1" x14ac:dyDescent="0.3">
      <c r="A630" s="1" t="s">
        <v>1855</v>
      </c>
      <c r="B630" s="1" t="s">
        <v>1849</v>
      </c>
      <c r="C630" s="1" t="s">
        <v>1850</v>
      </c>
      <c r="D630">
        <v>1</v>
      </c>
      <c r="E630" s="1" t="s">
        <v>102</v>
      </c>
      <c r="F630" s="1" t="s">
        <v>1856</v>
      </c>
      <c r="G630">
        <v>0</v>
      </c>
      <c r="H630" s="1" t="s">
        <v>102</v>
      </c>
      <c r="I630">
        <v>378.92400822640354</v>
      </c>
      <c r="J630" s="1" t="s">
        <v>1847</v>
      </c>
      <c r="K630">
        <v>0</v>
      </c>
      <c r="L630">
        <v>97.021667904501385</v>
      </c>
      <c r="M630">
        <v>3602.7249999999999</v>
      </c>
      <c r="N630">
        <v>281.90234032190216</v>
      </c>
    </row>
    <row r="631" spans="1:14" hidden="1" x14ac:dyDescent="0.3">
      <c r="A631" s="1" t="s">
        <v>1861</v>
      </c>
      <c r="B631" s="1" t="s">
        <v>1849</v>
      </c>
      <c r="C631" s="1" t="s">
        <v>1850</v>
      </c>
      <c r="D631">
        <v>2</v>
      </c>
      <c r="E631" s="1" t="s">
        <v>102</v>
      </c>
      <c r="F631" s="1" t="s">
        <v>1862</v>
      </c>
      <c r="G631">
        <v>0</v>
      </c>
      <c r="H631" s="1" t="s">
        <v>102</v>
      </c>
      <c r="I631">
        <v>475.87326664797172</v>
      </c>
      <c r="J631" s="1" t="s">
        <v>1863</v>
      </c>
      <c r="K631">
        <v>0</v>
      </c>
      <c r="L631">
        <v>175.98954377552934</v>
      </c>
      <c r="M631">
        <v>3602.8049999999998</v>
      </c>
      <c r="N631">
        <v>299.88372287244238</v>
      </c>
    </row>
    <row r="632" spans="1:14" hidden="1" x14ac:dyDescent="0.3">
      <c r="A632" s="1" t="s">
        <v>1868</v>
      </c>
      <c r="B632" s="1" t="s">
        <v>1849</v>
      </c>
      <c r="C632" s="1" t="s">
        <v>1850</v>
      </c>
      <c r="D632">
        <v>3</v>
      </c>
      <c r="E632" s="1" t="s">
        <v>102</v>
      </c>
      <c r="F632" s="1" t="s">
        <v>1869</v>
      </c>
      <c r="G632">
        <v>0</v>
      </c>
      <c r="H632" s="1" t="s">
        <v>102</v>
      </c>
      <c r="I632">
        <v>447.36652871115837</v>
      </c>
      <c r="J632" s="1" t="s">
        <v>1870</v>
      </c>
      <c r="K632">
        <v>0</v>
      </c>
      <c r="L632">
        <v>157.49887757420848</v>
      </c>
      <c r="M632">
        <v>3602.6770000000001</v>
      </c>
      <c r="N632">
        <v>289.86765113694986</v>
      </c>
    </row>
    <row r="633" spans="1:14" hidden="1" x14ac:dyDescent="0.3">
      <c r="A633" s="1" t="s">
        <v>1876</v>
      </c>
      <c r="B633" s="1" t="s">
        <v>1849</v>
      </c>
      <c r="C633" s="1" t="s">
        <v>1850</v>
      </c>
      <c r="D633">
        <v>4</v>
      </c>
      <c r="E633" s="1" t="s">
        <v>102</v>
      </c>
      <c r="F633" s="1" t="s">
        <v>1877</v>
      </c>
      <c r="G633">
        <v>0</v>
      </c>
      <c r="H633" s="1" t="s">
        <v>102</v>
      </c>
      <c r="I633">
        <v>408.26767612516005</v>
      </c>
      <c r="J633" s="1" t="s">
        <v>1878</v>
      </c>
      <c r="K633">
        <v>0</v>
      </c>
      <c r="L633">
        <v>135.23015101557738</v>
      </c>
      <c r="M633">
        <v>3602.3919999999998</v>
      </c>
      <c r="N633">
        <v>273.0375251095827</v>
      </c>
    </row>
    <row r="634" spans="1:14" hidden="1" x14ac:dyDescent="0.3">
      <c r="A634" s="1" t="s">
        <v>1884</v>
      </c>
      <c r="B634" s="1" t="s">
        <v>1849</v>
      </c>
      <c r="C634" s="1" t="s">
        <v>1850</v>
      </c>
      <c r="D634">
        <v>5</v>
      </c>
      <c r="E634" s="1" t="s">
        <v>102</v>
      </c>
      <c r="F634" s="1" t="s">
        <v>1885</v>
      </c>
      <c r="G634">
        <v>0</v>
      </c>
      <c r="H634" s="1" t="s">
        <v>102</v>
      </c>
      <c r="I634">
        <v>397.39577738440704</v>
      </c>
      <c r="J634" s="1" t="s">
        <v>1886</v>
      </c>
      <c r="K634">
        <v>0</v>
      </c>
      <c r="L634">
        <v>169.88407510492124</v>
      </c>
      <c r="M634">
        <v>3602.6869999999999</v>
      </c>
      <c r="N634">
        <v>227.5117022794858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E09C-0D23-4B37-8166-6F534CC06337}">
  <dimension ref="A1:I226"/>
  <sheetViews>
    <sheetView workbookViewId="0">
      <selection activeCell="D17" sqref="D17:G209"/>
    </sheetView>
  </sheetViews>
  <sheetFormatPr defaultRowHeight="14" x14ac:dyDescent="0.3"/>
  <cols>
    <col min="1" max="1" width="79.58203125" bestFit="1" customWidth="1"/>
    <col min="2" max="2" width="20.08203125" bestFit="1" customWidth="1"/>
    <col min="3" max="3" width="29.83203125" bestFit="1" customWidth="1"/>
    <col min="4" max="4" width="12.33203125" bestFit="1" customWidth="1"/>
    <col min="5" max="5" width="8.1640625" bestFit="1" customWidth="1"/>
    <col min="6" max="6" width="7.1640625" bestFit="1" customWidth="1"/>
    <col min="7" max="7" width="12.5" bestFit="1" customWidth="1"/>
    <col min="8" max="8" width="14" bestFit="1" customWidth="1"/>
    <col min="9" max="9" width="19.9140625" bestFit="1" customWidth="1"/>
  </cols>
  <sheetData>
    <row r="1" spans="1:9" x14ac:dyDescent="0.3">
      <c r="A1" t="s">
        <v>600</v>
      </c>
      <c r="B1" t="s">
        <v>0</v>
      </c>
      <c r="C1" t="s">
        <v>601</v>
      </c>
      <c r="D1" t="s">
        <v>7</v>
      </c>
      <c r="E1" t="s">
        <v>602</v>
      </c>
      <c r="F1" t="s">
        <v>11</v>
      </c>
      <c r="G1" t="s">
        <v>603</v>
      </c>
      <c r="H1" t="s">
        <v>604</v>
      </c>
      <c r="I1" t="s">
        <v>605</v>
      </c>
    </row>
    <row r="2" spans="1:9" hidden="1" x14ac:dyDescent="0.3">
      <c r="A2" s="1" t="s">
        <v>606</v>
      </c>
      <c r="B2" s="1" t="s">
        <v>607</v>
      </c>
      <c r="C2" s="1" t="s">
        <v>16</v>
      </c>
      <c r="D2">
        <v>32.910009879999997</v>
      </c>
      <c r="E2">
        <v>5.6</v>
      </c>
      <c r="F2">
        <v>27.31</v>
      </c>
      <c r="G2">
        <v>0</v>
      </c>
      <c r="H2">
        <v>0.28000000000000003</v>
      </c>
      <c r="I2">
        <v>1</v>
      </c>
    </row>
    <row r="3" spans="1:9" hidden="1" x14ac:dyDescent="0.3">
      <c r="A3" s="1" t="s">
        <v>608</v>
      </c>
      <c r="B3" s="1" t="s">
        <v>607</v>
      </c>
      <c r="C3" s="1" t="s">
        <v>17</v>
      </c>
      <c r="D3">
        <v>32.910009879999997</v>
      </c>
      <c r="E3">
        <v>5.6</v>
      </c>
      <c r="F3">
        <v>27.31</v>
      </c>
      <c r="G3">
        <v>0</v>
      </c>
      <c r="H3">
        <v>0.33</v>
      </c>
      <c r="I3">
        <v>1</v>
      </c>
    </row>
    <row r="4" spans="1:9" hidden="1" x14ac:dyDescent="0.3">
      <c r="A4" s="1" t="s">
        <v>609</v>
      </c>
      <c r="B4" s="1" t="s">
        <v>607</v>
      </c>
      <c r="C4" s="1" t="s">
        <v>102</v>
      </c>
      <c r="D4">
        <v>32.910009879999997</v>
      </c>
      <c r="E4">
        <v>5.6</v>
      </c>
      <c r="F4">
        <v>27.31</v>
      </c>
      <c r="G4">
        <v>0</v>
      </c>
      <c r="H4">
        <v>0.38</v>
      </c>
      <c r="I4">
        <v>1</v>
      </c>
    </row>
    <row r="5" spans="1:9" hidden="1" x14ac:dyDescent="0.3">
      <c r="A5" s="1" t="s">
        <v>610</v>
      </c>
      <c r="B5" s="1" t="s">
        <v>611</v>
      </c>
      <c r="C5" s="1" t="s">
        <v>16</v>
      </c>
      <c r="D5">
        <v>42.891180929999997</v>
      </c>
      <c r="E5">
        <v>7.09</v>
      </c>
      <c r="F5">
        <v>35.799999999999997</v>
      </c>
      <c r="G5">
        <v>0</v>
      </c>
      <c r="H5">
        <v>0.47</v>
      </c>
      <c r="I5">
        <v>1</v>
      </c>
    </row>
    <row r="6" spans="1:9" hidden="1" x14ac:dyDescent="0.3">
      <c r="A6" s="1" t="s">
        <v>612</v>
      </c>
      <c r="B6" s="1" t="s">
        <v>611</v>
      </c>
      <c r="C6" s="1" t="s">
        <v>17</v>
      </c>
      <c r="D6">
        <v>42.891180929999997</v>
      </c>
      <c r="E6">
        <v>7.09</v>
      </c>
      <c r="F6">
        <v>35.799999999999997</v>
      </c>
      <c r="G6">
        <v>0</v>
      </c>
      <c r="H6">
        <v>0.52</v>
      </c>
      <c r="I6">
        <v>1</v>
      </c>
    </row>
    <row r="7" spans="1:9" hidden="1" x14ac:dyDescent="0.3">
      <c r="A7" s="1" t="s">
        <v>613</v>
      </c>
      <c r="B7" s="1" t="s">
        <v>611</v>
      </c>
      <c r="C7" s="1" t="s">
        <v>102</v>
      </c>
      <c r="D7">
        <v>42.891180929999997</v>
      </c>
      <c r="E7">
        <v>7.09</v>
      </c>
      <c r="F7">
        <v>35.799999999999997</v>
      </c>
      <c r="G7">
        <v>0</v>
      </c>
      <c r="H7">
        <v>0.61</v>
      </c>
      <c r="I7">
        <v>1</v>
      </c>
    </row>
    <row r="8" spans="1:9" hidden="1" x14ac:dyDescent="0.3">
      <c r="A8" s="1" t="s">
        <v>614</v>
      </c>
      <c r="B8" s="1" t="s">
        <v>615</v>
      </c>
      <c r="C8" s="1" t="s">
        <v>16</v>
      </c>
      <c r="D8">
        <v>2.3320333999999998</v>
      </c>
      <c r="E8">
        <v>2.33</v>
      </c>
      <c r="F8">
        <v>0</v>
      </c>
      <c r="G8">
        <v>0</v>
      </c>
      <c r="H8">
        <v>0.27</v>
      </c>
      <c r="I8">
        <v>1</v>
      </c>
    </row>
    <row r="9" spans="1:9" hidden="1" x14ac:dyDescent="0.3">
      <c r="A9" s="1" t="s">
        <v>616</v>
      </c>
      <c r="B9" s="1" t="s">
        <v>615</v>
      </c>
      <c r="C9" s="1" t="s">
        <v>17</v>
      </c>
      <c r="D9">
        <v>2.3320333999999998</v>
      </c>
      <c r="E9">
        <v>2.33</v>
      </c>
      <c r="F9">
        <v>0</v>
      </c>
      <c r="G9">
        <v>0</v>
      </c>
      <c r="H9">
        <v>0.31</v>
      </c>
      <c r="I9">
        <v>1</v>
      </c>
    </row>
    <row r="10" spans="1:9" hidden="1" x14ac:dyDescent="0.3">
      <c r="A10" s="1" t="s">
        <v>617</v>
      </c>
      <c r="B10" s="1" t="s">
        <v>615</v>
      </c>
      <c r="C10" s="1" t="s">
        <v>102</v>
      </c>
      <c r="D10">
        <v>2.3320333999999998</v>
      </c>
      <c r="E10">
        <v>2.33</v>
      </c>
      <c r="F10">
        <v>0</v>
      </c>
      <c r="G10">
        <v>0</v>
      </c>
      <c r="H10">
        <v>0.38</v>
      </c>
      <c r="I10">
        <v>1</v>
      </c>
    </row>
    <row r="11" spans="1:9" hidden="1" x14ac:dyDescent="0.3">
      <c r="A11" s="1" t="s">
        <v>618</v>
      </c>
      <c r="B11" s="1" t="s">
        <v>619</v>
      </c>
      <c r="C11" s="1" t="s">
        <v>16</v>
      </c>
      <c r="D11">
        <v>4.0228502900000001</v>
      </c>
      <c r="E11">
        <v>4.0199999999999996</v>
      </c>
      <c r="F11">
        <v>0</v>
      </c>
      <c r="G11">
        <v>0</v>
      </c>
      <c r="H11">
        <v>0.31</v>
      </c>
      <c r="I11">
        <v>1</v>
      </c>
    </row>
    <row r="12" spans="1:9" hidden="1" x14ac:dyDescent="0.3">
      <c r="A12" s="1" t="s">
        <v>620</v>
      </c>
      <c r="B12" s="1" t="s">
        <v>619</v>
      </c>
      <c r="C12" s="1" t="s">
        <v>17</v>
      </c>
      <c r="D12">
        <v>4.0228502900000001</v>
      </c>
      <c r="E12">
        <v>4.0199999999999996</v>
      </c>
      <c r="F12">
        <v>0</v>
      </c>
      <c r="G12">
        <v>0</v>
      </c>
      <c r="H12">
        <v>0.34</v>
      </c>
      <c r="I12">
        <v>1</v>
      </c>
    </row>
    <row r="13" spans="1:9" hidden="1" x14ac:dyDescent="0.3">
      <c r="A13" s="1" t="s">
        <v>621</v>
      </c>
      <c r="B13" s="1" t="s">
        <v>619</v>
      </c>
      <c r="C13" s="1" t="s">
        <v>102</v>
      </c>
      <c r="D13">
        <v>4.0228502900000001</v>
      </c>
      <c r="E13">
        <v>4.0199999999999996</v>
      </c>
      <c r="F13">
        <v>0</v>
      </c>
      <c r="G13">
        <v>0</v>
      </c>
      <c r="H13">
        <v>0.4</v>
      </c>
      <c r="I13">
        <v>1</v>
      </c>
    </row>
    <row r="14" spans="1:9" hidden="1" x14ac:dyDescent="0.3">
      <c r="A14" s="1" t="s">
        <v>622</v>
      </c>
      <c r="B14" s="1" t="s">
        <v>623</v>
      </c>
      <c r="C14" s="1" t="s">
        <v>16</v>
      </c>
      <c r="D14">
        <v>3.8937994100000002</v>
      </c>
      <c r="E14">
        <v>3.89</v>
      </c>
      <c r="F14">
        <v>0</v>
      </c>
      <c r="G14">
        <v>0</v>
      </c>
      <c r="H14">
        <v>0.09</v>
      </c>
      <c r="I14">
        <v>1</v>
      </c>
    </row>
    <row r="15" spans="1:9" hidden="1" x14ac:dyDescent="0.3">
      <c r="A15" s="1" t="s">
        <v>624</v>
      </c>
      <c r="B15" s="1" t="s">
        <v>623</v>
      </c>
      <c r="C15" s="1" t="s">
        <v>17</v>
      </c>
      <c r="D15">
        <v>3.8937994100000002</v>
      </c>
      <c r="E15">
        <v>3.89</v>
      </c>
      <c r="F15">
        <v>0</v>
      </c>
      <c r="G15">
        <v>0</v>
      </c>
      <c r="H15">
        <v>0.09</v>
      </c>
      <c r="I15">
        <v>1</v>
      </c>
    </row>
    <row r="16" spans="1:9" hidden="1" x14ac:dyDescent="0.3">
      <c r="A16" s="1" t="s">
        <v>625</v>
      </c>
      <c r="B16" s="1" t="s">
        <v>623</v>
      </c>
      <c r="C16" s="1" t="s">
        <v>102</v>
      </c>
      <c r="D16">
        <v>3.8937994100000002</v>
      </c>
      <c r="E16">
        <v>3.89</v>
      </c>
      <c r="F16">
        <v>0</v>
      </c>
      <c r="G16">
        <v>0</v>
      </c>
      <c r="H16">
        <v>0.1</v>
      </c>
      <c r="I16">
        <v>1</v>
      </c>
    </row>
    <row r="17" spans="1:9" x14ac:dyDescent="0.3">
      <c r="A17" s="1" t="s">
        <v>626</v>
      </c>
      <c r="B17" s="1" t="s">
        <v>627</v>
      </c>
      <c r="C17" s="1" t="s">
        <v>16</v>
      </c>
      <c r="D17">
        <v>55.931089980000003</v>
      </c>
      <c r="E17">
        <v>25.9</v>
      </c>
      <c r="F17">
        <v>30.04</v>
      </c>
      <c r="G17">
        <v>0</v>
      </c>
      <c r="H17">
        <v>0.61</v>
      </c>
      <c r="I17">
        <v>1</v>
      </c>
    </row>
    <row r="18" spans="1:9" hidden="1" x14ac:dyDescent="0.3">
      <c r="A18" s="1" t="s">
        <v>628</v>
      </c>
      <c r="B18" s="1" t="s">
        <v>627</v>
      </c>
      <c r="C18" s="1" t="s">
        <v>17</v>
      </c>
      <c r="D18">
        <v>55.931089980000003</v>
      </c>
      <c r="E18">
        <v>25.9</v>
      </c>
      <c r="F18">
        <v>30.04</v>
      </c>
      <c r="G18">
        <v>0</v>
      </c>
      <c r="H18">
        <v>0.62</v>
      </c>
      <c r="I18">
        <v>1</v>
      </c>
    </row>
    <row r="19" spans="1:9" hidden="1" x14ac:dyDescent="0.3">
      <c r="A19" s="1" t="s">
        <v>629</v>
      </c>
      <c r="B19" s="1" t="s">
        <v>627</v>
      </c>
      <c r="C19" s="1" t="s">
        <v>102</v>
      </c>
      <c r="D19">
        <v>55.931089980000003</v>
      </c>
      <c r="E19">
        <v>25.9</v>
      </c>
      <c r="F19">
        <v>30.04</v>
      </c>
      <c r="G19">
        <v>0</v>
      </c>
      <c r="H19">
        <v>0.64</v>
      </c>
      <c r="I19">
        <v>1</v>
      </c>
    </row>
    <row r="20" spans="1:9" x14ac:dyDescent="0.3">
      <c r="A20" s="1" t="s">
        <v>630</v>
      </c>
      <c r="B20" s="1" t="s">
        <v>631</v>
      </c>
      <c r="C20" s="1" t="s">
        <v>16</v>
      </c>
      <c r="D20">
        <v>57.656505899999999</v>
      </c>
      <c r="E20">
        <v>26.78</v>
      </c>
      <c r="F20">
        <v>30.87</v>
      </c>
      <c r="G20">
        <v>0</v>
      </c>
      <c r="H20">
        <v>0.38</v>
      </c>
      <c r="I20">
        <v>1</v>
      </c>
    </row>
    <row r="21" spans="1:9" hidden="1" x14ac:dyDescent="0.3">
      <c r="A21" s="1" t="s">
        <v>632</v>
      </c>
      <c r="B21" s="1" t="s">
        <v>631</v>
      </c>
      <c r="C21" s="1" t="s">
        <v>17</v>
      </c>
      <c r="D21">
        <v>57.656505899999999</v>
      </c>
      <c r="E21">
        <v>26.78</v>
      </c>
      <c r="F21">
        <v>30.87</v>
      </c>
      <c r="G21">
        <v>0</v>
      </c>
      <c r="H21">
        <v>0.39</v>
      </c>
      <c r="I21">
        <v>1</v>
      </c>
    </row>
    <row r="22" spans="1:9" hidden="1" x14ac:dyDescent="0.3">
      <c r="A22" s="1" t="s">
        <v>633</v>
      </c>
      <c r="B22" s="1" t="s">
        <v>631</v>
      </c>
      <c r="C22" s="1" t="s">
        <v>102</v>
      </c>
      <c r="D22">
        <v>57.656505899999999</v>
      </c>
      <c r="E22">
        <v>26.78</v>
      </c>
      <c r="F22">
        <v>30.87</v>
      </c>
      <c r="G22">
        <v>0</v>
      </c>
      <c r="H22">
        <v>0.4</v>
      </c>
      <c r="I22">
        <v>1</v>
      </c>
    </row>
    <row r="23" spans="1:9" x14ac:dyDescent="0.3">
      <c r="A23" s="1" t="s">
        <v>634</v>
      </c>
      <c r="B23" s="1" t="s">
        <v>635</v>
      </c>
      <c r="C23" s="1" t="s">
        <v>16</v>
      </c>
      <c r="D23">
        <v>20.29128236</v>
      </c>
      <c r="E23">
        <v>20.29</v>
      </c>
      <c r="F23">
        <v>0</v>
      </c>
      <c r="G23">
        <v>0</v>
      </c>
      <c r="H23">
        <v>0.55000000000000004</v>
      </c>
      <c r="I23">
        <v>1</v>
      </c>
    </row>
    <row r="24" spans="1:9" hidden="1" x14ac:dyDescent="0.3">
      <c r="A24" s="1" t="s">
        <v>636</v>
      </c>
      <c r="B24" s="1" t="s">
        <v>635</v>
      </c>
      <c r="C24" s="1" t="s">
        <v>17</v>
      </c>
      <c r="D24">
        <v>20.29128236</v>
      </c>
      <c r="E24">
        <v>20.29</v>
      </c>
      <c r="F24">
        <v>0</v>
      </c>
      <c r="G24">
        <v>0</v>
      </c>
      <c r="H24">
        <v>0.54</v>
      </c>
      <c r="I24">
        <v>1</v>
      </c>
    </row>
    <row r="25" spans="1:9" hidden="1" x14ac:dyDescent="0.3">
      <c r="A25" s="1" t="s">
        <v>637</v>
      </c>
      <c r="B25" s="1" t="s">
        <v>635</v>
      </c>
      <c r="C25" s="1" t="s">
        <v>102</v>
      </c>
      <c r="D25">
        <v>20.29128236</v>
      </c>
      <c r="E25">
        <v>20.29</v>
      </c>
      <c r="F25">
        <v>0</v>
      </c>
      <c r="G25">
        <v>0</v>
      </c>
      <c r="H25">
        <v>0.6</v>
      </c>
      <c r="I25">
        <v>1</v>
      </c>
    </row>
    <row r="26" spans="1:9" x14ac:dyDescent="0.3">
      <c r="A26" s="1" t="s">
        <v>638</v>
      </c>
      <c r="B26" s="1" t="s">
        <v>639</v>
      </c>
      <c r="C26" s="1" t="s">
        <v>16</v>
      </c>
      <c r="D26">
        <v>28.936699690000001</v>
      </c>
      <c r="E26">
        <v>21.41</v>
      </c>
      <c r="F26">
        <v>7.52</v>
      </c>
      <c r="G26">
        <v>0</v>
      </c>
      <c r="H26">
        <v>1.78</v>
      </c>
      <c r="I26">
        <v>1</v>
      </c>
    </row>
    <row r="27" spans="1:9" hidden="1" x14ac:dyDescent="0.3">
      <c r="A27" s="1" t="s">
        <v>640</v>
      </c>
      <c r="B27" s="1" t="s">
        <v>639</v>
      </c>
      <c r="C27" s="1" t="s">
        <v>17</v>
      </c>
      <c r="D27">
        <v>28.936699690000001</v>
      </c>
      <c r="E27">
        <v>21.41</v>
      </c>
      <c r="F27">
        <v>7.52</v>
      </c>
      <c r="G27">
        <v>0</v>
      </c>
      <c r="H27">
        <v>1.72</v>
      </c>
      <c r="I27">
        <v>1</v>
      </c>
    </row>
    <row r="28" spans="1:9" hidden="1" x14ac:dyDescent="0.3">
      <c r="A28" s="1" t="s">
        <v>641</v>
      </c>
      <c r="B28" s="1" t="s">
        <v>639</v>
      </c>
      <c r="C28" s="1" t="s">
        <v>102</v>
      </c>
      <c r="D28">
        <v>28.936699690000001</v>
      </c>
      <c r="E28">
        <v>21.41</v>
      </c>
      <c r="F28">
        <v>7.52</v>
      </c>
      <c r="G28">
        <v>0</v>
      </c>
      <c r="H28">
        <v>1.71</v>
      </c>
      <c r="I28">
        <v>1</v>
      </c>
    </row>
    <row r="29" spans="1:9" x14ac:dyDescent="0.3">
      <c r="A29" s="1" t="s">
        <v>642</v>
      </c>
      <c r="B29" s="1" t="s">
        <v>643</v>
      </c>
      <c r="C29" s="1" t="s">
        <v>16</v>
      </c>
      <c r="D29">
        <v>47.283948359999997</v>
      </c>
      <c r="E29">
        <v>23.19</v>
      </c>
      <c r="F29">
        <v>24.09</v>
      </c>
      <c r="G29">
        <v>0</v>
      </c>
      <c r="H29">
        <v>0.35</v>
      </c>
      <c r="I29">
        <v>1</v>
      </c>
    </row>
    <row r="30" spans="1:9" hidden="1" x14ac:dyDescent="0.3">
      <c r="A30" s="1" t="s">
        <v>644</v>
      </c>
      <c r="B30" s="1" t="s">
        <v>643</v>
      </c>
      <c r="C30" s="1" t="s">
        <v>17</v>
      </c>
      <c r="D30">
        <v>47.283948359999997</v>
      </c>
      <c r="E30">
        <v>23.19</v>
      </c>
      <c r="F30">
        <v>24.09</v>
      </c>
      <c r="G30">
        <v>0</v>
      </c>
      <c r="H30">
        <v>0.36</v>
      </c>
      <c r="I30">
        <v>1</v>
      </c>
    </row>
    <row r="31" spans="1:9" hidden="1" x14ac:dyDescent="0.3">
      <c r="A31" s="1" t="s">
        <v>645</v>
      </c>
      <c r="B31" s="1" t="s">
        <v>643</v>
      </c>
      <c r="C31" s="1" t="s">
        <v>102</v>
      </c>
      <c r="D31">
        <v>47.283948359999997</v>
      </c>
      <c r="E31">
        <v>23.19</v>
      </c>
      <c r="F31">
        <v>24.09</v>
      </c>
      <c r="G31">
        <v>0</v>
      </c>
      <c r="H31">
        <v>0.36</v>
      </c>
      <c r="I31">
        <v>1</v>
      </c>
    </row>
    <row r="32" spans="1:9" hidden="1" x14ac:dyDescent="0.3">
      <c r="A32" s="1" t="s">
        <v>646</v>
      </c>
      <c r="B32" s="1" t="s">
        <v>647</v>
      </c>
      <c r="C32" s="1" t="s">
        <v>16</v>
      </c>
      <c r="D32">
        <v>323.61072381999998</v>
      </c>
      <c r="E32">
        <v>132.43</v>
      </c>
      <c r="F32">
        <v>191.18</v>
      </c>
      <c r="G32">
        <v>0</v>
      </c>
      <c r="H32">
        <v>5.85</v>
      </c>
      <c r="I32">
        <v>1</v>
      </c>
    </row>
    <row r="33" spans="1:9" hidden="1" x14ac:dyDescent="0.3">
      <c r="A33" s="1" t="s">
        <v>648</v>
      </c>
      <c r="B33" s="1" t="s">
        <v>647</v>
      </c>
      <c r="C33" s="1" t="s">
        <v>17</v>
      </c>
      <c r="D33">
        <v>323.61072381999998</v>
      </c>
      <c r="E33">
        <v>132.43</v>
      </c>
      <c r="F33">
        <v>191.18</v>
      </c>
      <c r="G33">
        <v>0</v>
      </c>
      <c r="H33">
        <v>7.18</v>
      </c>
      <c r="I33">
        <v>1</v>
      </c>
    </row>
    <row r="34" spans="1:9" hidden="1" x14ac:dyDescent="0.3">
      <c r="A34" s="1" t="s">
        <v>649</v>
      </c>
      <c r="B34" s="1" t="s">
        <v>647</v>
      </c>
      <c r="C34" s="1" t="s">
        <v>102</v>
      </c>
      <c r="D34">
        <v>323.61072381999998</v>
      </c>
      <c r="E34">
        <v>132.43</v>
      </c>
      <c r="F34">
        <v>191.18</v>
      </c>
      <c r="G34">
        <v>0</v>
      </c>
      <c r="H34">
        <v>6.47</v>
      </c>
      <c r="I34">
        <v>1</v>
      </c>
    </row>
    <row r="35" spans="1:9" hidden="1" x14ac:dyDescent="0.3">
      <c r="A35" s="1" t="s">
        <v>650</v>
      </c>
      <c r="B35" s="1" t="s">
        <v>651</v>
      </c>
      <c r="C35" s="1" t="s">
        <v>16</v>
      </c>
      <c r="D35">
        <v>338.56669997</v>
      </c>
      <c r="E35">
        <v>151.04</v>
      </c>
      <c r="F35">
        <v>187.53</v>
      </c>
      <c r="G35">
        <v>0</v>
      </c>
      <c r="H35">
        <v>4.5</v>
      </c>
      <c r="I35">
        <v>1</v>
      </c>
    </row>
    <row r="36" spans="1:9" hidden="1" x14ac:dyDescent="0.3">
      <c r="A36" s="1" t="s">
        <v>652</v>
      </c>
      <c r="B36" s="1" t="s">
        <v>651</v>
      </c>
      <c r="C36" s="1" t="s">
        <v>17</v>
      </c>
      <c r="D36">
        <v>338.56669997</v>
      </c>
      <c r="E36">
        <v>151.04</v>
      </c>
      <c r="F36">
        <v>187.53</v>
      </c>
      <c r="G36">
        <v>0</v>
      </c>
      <c r="H36">
        <v>5.15</v>
      </c>
      <c r="I36">
        <v>1</v>
      </c>
    </row>
    <row r="37" spans="1:9" hidden="1" x14ac:dyDescent="0.3">
      <c r="A37" s="1" t="s">
        <v>653</v>
      </c>
      <c r="B37" s="1" t="s">
        <v>651</v>
      </c>
      <c r="C37" s="1" t="s">
        <v>102</v>
      </c>
      <c r="D37">
        <v>338.56669997</v>
      </c>
      <c r="E37">
        <v>151.04</v>
      </c>
      <c r="F37">
        <v>187.53</v>
      </c>
      <c r="G37">
        <v>0</v>
      </c>
      <c r="H37">
        <v>4.45</v>
      </c>
      <c r="I37">
        <v>1</v>
      </c>
    </row>
    <row r="38" spans="1:9" hidden="1" x14ac:dyDescent="0.3">
      <c r="A38" s="1" t="s">
        <v>654</v>
      </c>
      <c r="B38" s="1" t="s">
        <v>655</v>
      </c>
      <c r="C38" s="1" t="s">
        <v>16</v>
      </c>
      <c r="D38">
        <v>165.01941228999999</v>
      </c>
      <c r="E38">
        <v>105.64</v>
      </c>
      <c r="F38">
        <v>59.38</v>
      </c>
      <c r="G38">
        <v>0</v>
      </c>
      <c r="H38">
        <v>7.1</v>
      </c>
      <c r="I38">
        <v>1</v>
      </c>
    </row>
    <row r="39" spans="1:9" hidden="1" x14ac:dyDescent="0.3">
      <c r="A39" s="1" t="s">
        <v>656</v>
      </c>
      <c r="B39" s="1" t="s">
        <v>655</v>
      </c>
      <c r="C39" s="1" t="s">
        <v>17</v>
      </c>
      <c r="D39">
        <v>165.01941228999999</v>
      </c>
      <c r="E39">
        <v>105.64</v>
      </c>
      <c r="F39">
        <v>59.38</v>
      </c>
      <c r="G39">
        <v>0</v>
      </c>
      <c r="H39">
        <v>7.95</v>
      </c>
      <c r="I39">
        <v>1</v>
      </c>
    </row>
    <row r="40" spans="1:9" hidden="1" x14ac:dyDescent="0.3">
      <c r="A40" s="1" t="s">
        <v>657</v>
      </c>
      <c r="B40" s="1" t="s">
        <v>655</v>
      </c>
      <c r="C40" s="1" t="s">
        <v>102</v>
      </c>
      <c r="D40">
        <v>165.01941228999999</v>
      </c>
      <c r="E40">
        <v>105.64</v>
      </c>
      <c r="F40">
        <v>59.38</v>
      </c>
      <c r="G40">
        <v>0</v>
      </c>
      <c r="H40">
        <v>7.1</v>
      </c>
      <c r="I40">
        <v>1</v>
      </c>
    </row>
    <row r="41" spans="1:9" hidden="1" x14ac:dyDescent="0.3">
      <c r="A41" s="1" t="s">
        <v>658</v>
      </c>
      <c r="B41" s="1" t="s">
        <v>659</v>
      </c>
      <c r="C41" s="1" t="s">
        <v>16</v>
      </c>
      <c r="D41">
        <v>147.71197531999999</v>
      </c>
      <c r="E41">
        <v>108.67</v>
      </c>
      <c r="F41">
        <v>39.04</v>
      </c>
      <c r="G41">
        <v>0</v>
      </c>
      <c r="H41">
        <v>4.3600000000000003</v>
      </c>
      <c r="I41">
        <v>1</v>
      </c>
    </row>
    <row r="42" spans="1:9" hidden="1" x14ac:dyDescent="0.3">
      <c r="A42" s="1" t="s">
        <v>660</v>
      </c>
      <c r="B42" s="1" t="s">
        <v>659</v>
      </c>
      <c r="C42" s="1" t="s">
        <v>17</v>
      </c>
      <c r="D42">
        <v>147.71197531999999</v>
      </c>
      <c r="E42">
        <v>108.67</v>
      </c>
      <c r="F42">
        <v>39.04</v>
      </c>
      <c r="G42">
        <v>0</v>
      </c>
      <c r="H42">
        <v>4.04</v>
      </c>
      <c r="I42">
        <v>1</v>
      </c>
    </row>
    <row r="43" spans="1:9" hidden="1" x14ac:dyDescent="0.3">
      <c r="A43" s="1" t="s">
        <v>661</v>
      </c>
      <c r="B43" s="1" t="s">
        <v>659</v>
      </c>
      <c r="C43" s="1" t="s">
        <v>102</v>
      </c>
      <c r="D43">
        <v>147.71197531999999</v>
      </c>
      <c r="E43">
        <v>108.67</v>
      </c>
      <c r="F43">
        <v>39.04</v>
      </c>
      <c r="G43">
        <v>0</v>
      </c>
      <c r="H43">
        <v>4.49</v>
      </c>
      <c r="I43">
        <v>1</v>
      </c>
    </row>
    <row r="44" spans="1:9" hidden="1" x14ac:dyDescent="0.3">
      <c r="A44" s="1" t="s">
        <v>662</v>
      </c>
      <c r="B44" s="1" t="s">
        <v>663</v>
      </c>
      <c r="C44" s="1" t="s">
        <v>16</v>
      </c>
      <c r="D44">
        <v>307.55923868999997</v>
      </c>
      <c r="E44">
        <v>153.35</v>
      </c>
      <c r="F44">
        <v>154.21</v>
      </c>
      <c r="G44">
        <v>0</v>
      </c>
      <c r="H44">
        <v>6.96</v>
      </c>
      <c r="I44">
        <v>1</v>
      </c>
    </row>
    <row r="45" spans="1:9" hidden="1" x14ac:dyDescent="0.3">
      <c r="A45" s="1" t="s">
        <v>664</v>
      </c>
      <c r="B45" s="1" t="s">
        <v>663</v>
      </c>
      <c r="C45" s="1" t="s">
        <v>17</v>
      </c>
      <c r="D45">
        <v>307.55923868999997</v>
      </c>
      <c r="E45">
        <v>153.35</v>
      </c>
      <c r="F45">
        <v>154.21</v>
      </c>
      <c r="G45">
        <v>0</v>
      </c>
      <c r="H45">
        <v>6.29</v>
      </c>
      <c r="I45">
        <v>1</v>
      </c>
    </row>
    <row r="46" spans="1:9" hidden="1" x14ac:dyDescent="0.3">
      <c r="A46" s="1" t="s">
        <v>665</v>
      </c>
      <c r="B46" s="1" t="s">
        <v>663</v>
      </c>
      <c r="C46" s="1" t="s">
        <v>102</v>
      </c>
      <c r="D46">
        <v>307.55923868999997</v>
      </c>
      <c r="E46">
        <v>153.35</v>
      </c>
      <c r="F46">
        <v>154.21</v>
      </c>
      <c r="G46">
        <v>0</v>
      </c>
      <c r="H46">
        <v>5.95</v>
      </c>
      <c r="I46">
        <v>1</v>
      </c>
    </row>
    <row r="47" spans="1:9" hidden="1" x14ac:dyDescent="0.3">
      <c r="A47" s="1" t="s">
        <v>666</v>
      </c>
      <c r="B47" s="1" t="s">
        <v>667</v>
      </c>
      <c r="C47" s="1" t="s">
        <v>16</v>
      </c>
      <c r="D47">
        <v>122.67071694000001</v>
      </c>
      <c r="E47">
        <v>63.08</v>
      </c>
      <c r="F47">
        <v>59.59</v>
      </c>
      <c r="G47">
        <v>0</v>
      </c>
      <c r="H47">
        <v>1.25</v>
      </c>
      <c r="I47">
        <v>1</v>
      </c>
    </row>
    <row r="48" spans="1:9" hidden="1" x14ac:dyDescent="0.3">
      <c r="A48" s="1" t="s">
        <v>668</v>
      </c>
      <c r="B48" s="1" t="s">
        <v>667</v>
      </c>
      <c r="C48" s="1" t="s">
        <v>17</v>
      </c>
      <c r="D48">
        <v>122.67071694000001</v>
      </c>
      <c r="E48">
        <v>63.08</v>
      </c>
      <c r="F48">
        <v>59.59</v>
      </c>
      <c r="G48">
        <v>0</v>
      </c>
      <c r="H48">
        <v>1.35</v>
      </c>
      <c r="I48">
        <v>1</v>
      </c>
    </row>
    <row r="49" spans="1:9" hidden="1" x14ac:dyDescent="0.3">
      <c r="A49" s="1" t="s">
        <v>669</v>
      </c>
      <c r="B49" s="1" t="s">
        <v>667</v>
      </c>
      <c r="C49" s="1" t="s">
        <v>102</v>
      </c>
      <c r="D49">
        <v>122.67071694000001</v>
      </c>
      <c r="E49">
        <v>63.08</v>
      </c>
      <c r="F49">
        <v>59.59</v>
      </c>
      <c r="G49">
        <v>0</v>
      </c>
      <c r="H49">
        <v>1.1399999999999999</v>
      </c>
      <c r="I49">
        <v>1</v>
      </c>
    </row>
    <row r="50" spans="1:9" hidden="1" x14ac:dyDescent="0.3">
      <c r="A50" s="1" t="s">
        <v>670</v>
      </c>
      <c r="B50" s="1" t="s">
        <v>671</v>
      </c>
      <c r="C50" s="1" t="s">
        <v>16</v>
      </c>
      <c r="D50">
        <v>114.29318171</v>
      </c>
      <c r="E50">
        <v>45.02</v>
      </c>
      <c r="F50">
        <v>69.27</v>
      </c>
      <c r="G50">
        <v>0</v>
      </c>
      <c r="H50">
        <v>1.21</v>
      </c>
      <c r="I50">
        <v>1</v>
      </c>
    </row>
    <row r="51" spans="1:9" hidden="1" x14ac:dyDescent="0.3">
      <c r="A51" s="1" t="s">
        <v>672</v>
      </c>
      <c r="B51" s="1" t="s">
        <v>671</v>
      </c>
      <c r="C51" s="1" t="s">
        <v>17</v>
      </c>
      <c r="D51">
        <v>114.29318171</v>
      </c>
      <c r="E51">
        <v>45.02</v>
      </c>
      <c r="F51">
        <v>69.27</v>
      </c>
      <c r="G51">
        <v>0</v>
      </c>
      <c r="H51">
        <v>1.0900000000000001</v>
      </c>
      <c r="I51">
        <v>1</v>
      </c>
    </row>
    <row r="52" spans="1:9" hidden="1" x14ac:dyDescent="0.3">
      <c r="A52" s="1" t="s">
        <v>673</v>
      </c>
      <c r="B52" s="1" t="s">
        <v>671</v>
      </c>
      <c r="C52" s="1" t="s">
        <v>102</v>
      </c>
      <c r="D52">
        <v>114.29318171</v>
      </c>
      <c r="E52">
        <v>45.02</v>
      </c>
      <c r="F52">
        <v>69.27</v>
      </c>
      <c r="G52">
        <v>0</v>
      </c>
      <c r="H52">
        <v>1.1000000000000001</v>
      </c>
      <c r="I52">
        <v>1</v>
      </c>
    </row>
    <row r="53" spans="1:9" hidden="1" x14ac:dyDescent="0.3">
      <c r="A53" s="1" t="s">
        <v>674</v>
      </c>
      <c r="B53" s="1" t="s">
        <v>675</v>
      </c>
      <c r="C53" s="1" t="s">
        <v>16</v>
      </c>
      <c r="D53">
        <v>116.93704515</v>
      </c>
      <c r="E53">
        <v>56.74</v>
      </c>
      <c r="F53">
        <v>60.19</v>
      </c>
      <c r="G53">
        <v>0</v>
      </c>
      <c r="H53">
        <v>3.95</v>
      </c>
      <c r="I53">
        <v>1</v>
      </c>
    </row>
    <row r="54" spans="1:9" hidden="1" x14ac:dyDescent="0.3">
      <c r="A54" s="1" t="s">
        <v>676</v>
      </c>
      <c r="B54" s="1" t="s">
        <v>675</v>
      </c>
      <c r="C54" s="1" t="s">
        <v>17</v>
      </c>
      <c r="D54">
        <v>116.93704515</v>
      </c>
      <c r="E54">
        <v>56.74</v>
      </c>
      <c r="F54">
        <v>60.19</v>
      </c>
      <c r="G54">
        <v>0</v>
      </c>
      <c r="H54">
        <v>3.94</v>
      </c>
      <c r="I54">
        <v>1</v>
      </c>
    </row>
    <row r="55" spans="1:9" hidden="1" x14ac:dyDescent="0.3">
      <c r="A55" s="1" t="s">
        <v>677</v>
      </c>
      <c r="B55" s="1" t="s">
        <v>675</v>
      </c>
      <c r="C55" s="1" t="s">
        <v>102</v>
      </c>
      <c r="D55">
        <v>116.93704515</v>
      </c>
      <c r="E55">
        <v>56.74</v>
      </c>
      <c r="F55">
        <v>60.19</v>
      </c>
      <c r="G55">
        <v>0</v>
      </c>
      <c r="H55">
        <v>3.76</v>
      </c>
      <c r="I55">
        <v>1</v>
      </c>
    </row>
    <row r="56" spans="1:9" hidden="1" x14ac:dyDescent="0.3">
      <c r="A56" s="1" t="s">
        <v>678</v>
      </c>
      <c r="B56" s="1" t="s">
        <v>679</v>
      </c>
      <c r="C56" s="1" t="s">
        <v>16</v>
      </c>
      <c r="D56">
        <v>126.72051441000001</v>
      </c>
      <c r="E56">
        <v>45.67</v>
      </c>
      <c r="F56">
        <v>81.05</v>
      </c>
      <c r="G56">
        <v>0</v>
      </c>
      <c r="H56">
        <v>1.37</v>
      </c>
      <c r="I56">
        <v>1</v>
      </c>
    </row>
    <row r="57" spans="1:9" hidden="1" x14ac:dyDescent="0.3">
      <c r="A57" s="1" t="s">
        <v>680</v>
      </c>
      <c r="B57" s="1" t="s">
        <v>679</v>
      </c>
      <c r="C57" s="1" t="s">
        <v>17</v>
      </c>
      <c r="D57">
        <v>126.72051441000001</v>
      </c>
      <c r="E57">
        <v>45.67</v>
      </c>
      <c r="F57">
        <v>81.05</v>
      </c>
      <c r="G57">
        <v>0</v>
      </c>
      <c r="H57">
        <v>1.33</v>
      </c>
      <c r="I57">
        <v>1</v>
      </c>
    </row>
    <row r="58" spans="1:9" hidden="1" x14ac:dyDescent="0.3">
      <c r="A58" s="1" t="s">
        <v>681</v>
      </c>
      <c r="B58" s="1" t="s">
        <v>679</v>
      </c>
      <c r="C58" s="1" t="s">
        <v>102</v>
      </c>
      <c r="D58">
        <v>126.72051441000001</v>
      </c>
      <c r="E58">
        <v>45.67</v>
      </c>
      <c r="F58">
        <v>81.05</v>
      </c>
      <c r="G58">
        <v>0</v>
      </c>
      <c r="H58">
        <v>1.27</v>
      </c>
      <c r="I58">
        <v>1</v>
      </c>
    </row>
    <row r="59" spans="1:9" hidden="1" x14ac:dyDescent="0.3">
      <c r="A59" s="1" t="s">
        <v>682</v>
      </c>
      <c r="B59" s="1" t="s">
        <v>683</v>
      </c>
      <c r="C59" s="1" t="s">
        <v>16</v>
      </c>
      <c r="D59">
        <v>92.74421117</v>
      </c>
      <c r="E59">
        <v>56.13</v>
      </c>
      <c r="F59">
        <v>36.61</v>
      </c>
      <c r="G59">
        <v>0</v>
      </c>
      <c r="H59">
        <v>2.83</v>
      </c>
      <c r="I59">
        <v>1</v>
      </c>
    </row>
    <row r="60" spans="1:9" hidden="1" x14ac:dyDescent="0.3">
      <c r="A60" s="1" t="s">
        <v>684</v>
      </c>
      <c r="B60" s="1" t="s">
        <v>683</v>
      </c>
      <c r="C60" s="1" t="s">
        <v>17</v>
      </c>
      <c r="D60">
        <v>92.74421117</v>
      </c>
      <c r="E60">
        <v>56.13</v>
      </c>
      <c r="F60">
        <v>36.61</v>
      </c>
      <c r="G60">
        <v>0</v>
      </c>
      <c r="H60">
        <v>2.63</v>
      </c>
      <c r="I60">
        <v>1</v>
      </c>
    </row>
    <row r="61" spans="1:9" hidden="1" x14ac:dyDescent="0.3">
      <c r="A61" s="1" t="s">
        <v>685</v>
      </c>
      <c r="B61" s="1" t="s">
        <v>683</v>
      </c>
      <c r="C61" s="1" t="s">
        <v>102</v>
      </c>
      <c r="D61">
        <v>92.74421117</v>
      </c>
      <c r="E61">
        <v>56.13</v>
      </c>
      <c r="F61">
        <v>36.61</v>
      </c>
      <c r="G61">
        <v>0</v>
      </c>
      <c r="H61">
        <v>2.25</v>
      </c>
      <c r="I61">
        <v>1</v>
      </c>
    </row>
    <row r="62" spans="1:9" x14ac:dyDescent="0.3">
      <c r="A62" s="1" t="s">
        <v>686</v>
      </c>
      <c r="B62" s="1" t="s">
        <v>687</v>
      </c>
      <c r="C62" s="1" t="s">
        <v>16</v>
      </c>
      <c r="D62">
        <v>143.50523222999999</v>
      </c>
      <c r="E62">
        <v>78.099999999999994</v>
      </c>
      <c r="F62">
        <v>65.41</v>
      </c>
      <c r="G62">
        <v>0</v>
      </c>
      <c r="H62">
        <v>3.04</v>
      </c>
      <c r="I62">
        <v>1</v>
      </c>
    </row>
    <row r="63" spans="1:9" hidden="1" x14ac:dyDescent="0.3">
      <c r="A63" s="1" t="s">
        <v>688</v>
      </c>
      <c r="B63" s="1" t="s">
        <v>687</v>
      </c>
      <c r="C63" s="1" t="s">
        <v>17</v>
      </c>
      <c r="D63">
        <v>143.50523222999999</v>
      </c>
      <c r="E63">
        <v>78.099999999999994</v>
      </c>
      <c r="F63">
        <v>65.41</v>
      </c>
      <c r="G63">
        <v>0</v>
      </c>
      <c r="H63">
        <v>3.06</v>
      </c>
      <c r="I63">
        <v>1</v>
      </c>
    </row>
    <row r="64" spans="1:9" hidden="1" x14ac:dyDescent="0.3">
      <c r="A64" s="1" t="s">
        <v>689</v>
      </c>
      <c r="B64" s="1" t="s">
        <v>687</v>
      </c>
      <c r="C64" s="1" t="s">
        <v>102</v>
      </c>
      <c r="D64">
        <v>143.50523222999999</v>
      </c>
      <c r="E64">
        <v>78.099999999999994</v>
      </c>
      <c r="F64">
        <v>65.41</v>
      </c>
      <c r="G64">
        <v>0</v>
      </c>
      <c r="H64">
        <v>2.79</v>
      </c>
      <c r="I64">
        <v>1</v>
      </c>
    </row>
    <row r="65" spans="1:9" x14ac:dyDescent="0.3">
      <c r="A65" s="1" t="s">
        <v>690</v>
      </c>
      <c r="B65" s="1" t="s">
        <v>691</v>
      </c>
      <c r="C65" s="1" t="s">
        <v>16</v>
      </c>
      <c r="D65">
        <v>136.68911327999999</v>
      </c>
      <c r="E65">
        <v>82.6</v>
      </c>
      <c r="F65">
        <v>54.09</v>
      </c>
      <c r="G65">
        <v>0</v>
      </c>
      <c r="H65">
        <v>2.23</v>
      </c>
      <c r="I65">
        <v>1</v>
      </c>
    </row>
    <row r="66" spans="1:9" hidden="1" x14ac:dyDescent="0.3">
      <c r="A66" s="1" t="s">
        <v>692</v>
      </c>
      <c r="B66" s="1" t="s">
        <v>691</v>
      </c>
      <c r="C66" s="1" t="s">
        <v>17</v>
      </c>
      <c r="D66">
        <v>136.68911327999999</v>
      </c>
      <c r="E66">
        <v>82.6</v>
      </c>
      <c r="F66">
        <v>54.09</v>
      </c>
      <c r="G66">
        <v>0</v>
      </c>
      <c r="H66">
        <v>2.16</v>
      </c>
      <c r="I66">
        <v>1</v>
      </c>
    </row>
    <row r="67" spans="1:9" hidden="1" x14ac:dyDescent="0.3">
      <c r="A67" s="1" t="s">
        <v>693</v>
      </c>
      <c r="B67" s="1" t="s">
        <v>691</v>
      </c>
      <c r="C67" s="1" t="s">
        <v>102</v>
      </c>
      <c r="D67">
        <v>136.68911327999999</v>
      </c>
      <c r="E67">
        <v>82.6</v>
      </c>
      <c r="F67">
        <v>54.09</v>
      </c>
      <c r="G67">
        <v>0</v>
      </c>
      <c r="H67">
        <v>2.27</v>
      </c>
      <c r="I67">
        <v>1</v>
      </c>
    </row>
    <row r="68" spans="1:9" x14ac:dyDescent="0.3">
      <c r="A68" s="1" t="s">
        <v>694</v>
      </c>
      <c r="B68" s="1" t="s">
        <v>695</v>
      </c>
      <c r="C68" s="1" t="s">
        <v>16</v>
      </c>
      <c r="D68">
        <v>143.75224972999999</v>
      </c>
      <c r="E68">
        <v>75.62</v>
      </c>
      <c r="F68">
        <v>68.13</v>
      </c>
      <c r="G68">
        <v>0</v>
      </c>
      <c r="H68">
        <v>10.99</v>
      </c>
      <c r="I68">
        <v>1</v>
      </c>
    </row>
    <row r="69" spans="1:9" hidden="1" x14ac:dyDescent="0.3">
      <c r="A69" s="1" t="s">
        <v>696</v>
      </c>
      <c r="B69" s="1" t="s">
        <v>695</v>
      </c>
      <c r="C69" s="1" t="s">
        <v>17</v>
      </c>
      <c r="D69">
        <v>143.75224972999999</v>
      </c>
      <c r="E69">
        <v>75.62</v>
      </c>
      <c r="F69">
        <v>68.13</v>
      </c>
      <c r="G69">
        <v>0</v>
      </c>
      <c r="H69">
        <v>11.53</v>
      </c>
      <c r="I69">
        <v>1</v>
      </c>
    </row>
    <row r="70" spans="1:9" hidden="1" x14ac:dyDescent="0.3">
      <c r="A70" s="1" t="s">
        <v>697</v>
      </c>
      <c r="B70" s="1" t="s">
        <v>695</v>
      </c>
      <c r="C70" s="1" t="s">
        <v>102</v>
      </c>
      <c r="D70">
        <v>143.75224972999999</v>
      </c>
      <c r="E70">
        <v>75.62</v>
      </c>
      <c r="F70">
        <v>68.13</v>
      </c>
      <c r="G70">
        <v>0</v>
      </c>
      <c r="H70">
        <v>13.23</v>
      </c>
      <c r="I70">
        <v>1</v>
      </c>
    </row>
    <row r="71" spans="1:9" x14ac:dyDescent="0.3">
      <c r="A71" s="1" t="s">
        <v>698</v>
      </c>
      <c r="B71" s="1" t="s">
        <v>699</v>
      </c>
      <c r="C71" s="1" t="s">
        <v>16</v>
      </c>
      <c r="D71">
        <v>159.07776181</v>
      </c>
      <c r="E71">
        <v>83.01</v>
      </c>
      <c r="F71">
        <v>76.069999999999993</v>
      </c>
      <c r="G71">
        <v>0</v>
      </c>
      <c r="H71">
        <v>2.5299999999999998</v>
      </c>
      <c r="I71">
        <v>1</v>
      </c>
    </row>
    <row r="72" spans="1:9" hidden="1" x14ac:dyDescent="0.3">
      <c r="A72" s="1" t="s">
        <v>700</v>
      </c>
      <c r="B72" s="1" t="s">
        <v>699</v>
      </c>
      <c r="C72" s="1" t="s">
        <v>17</v>
      </c>
      <c r="D72">
        <v>159.07776181</v>
      </c>
      <c r="E72">
        <v>83.01</v>
      </c>
      <c r="F72">
        <v>76.069999999999993</v>
      </c>
      <c r="G72">
        <v>0</v>
      </c>
      <c r="H72">
        <v>2.73</v>
      </c>
      <c r="I72">
        <v>1</v>
      </c>
    </row>
    <row r="73" spans="1:9" hidden="1" x14ac:dyDescent="0.3">
      <c r="A73" s="1" t="s">
        <v>701</v>
      </c>
      <c r="B73" s="1" t="s">
        <v>699</v>
      </c>
      <c r="C73" s="1" t="s">
        <v>102</v>
      </c>
      <c r="D73">
        <v>159.07776181</v>
      </c>
      <c r="E73">
        <v>83.01</v>
      </c>
      <c r="F73">
        <v>76.069999999999993</v>
      </c>
      <c r="G73">
        <v>0</v>
      </c>
      <c r="H73">
        <v>2.77</v>
      </c>
      <c r="I73">
        <v>1</v>
      </c>
    </row>
    <row r="74" spans="1:9" x14ac:dyDescent="0.3">
      <c r="A74" s="1" t="s">
        <v>702</v>
      </c>
      <c r="B74" s="1" t="s">
        <v>703</v>
      </c>
      <c r="C74" s="1" t="s">
        <v>16</v>
      </c>
      <c r="D74">
        <v>155.03973479999999</v>
      </c>
      <c r="E74">
        <v>84.62</v>
      </c>
      <c r="F74">
        <v>70.42</v>
      </c>
      <c r="G74">
        <v>0</v>
      </c>
      <c r="H74">
        <v>2.16</v>
      </c>
      <c r="I74">
        <v>1</v>
      </c>
    </row>
    <row r="75" spans="1:9" hidden="1" x14ac:dyDescent="0.3">
      <c r="A75" s="1" t="s">
        <v>704</v>
      </c>
      <c r="B75" s="1" t="s">
        <v>703</v>
      </c>
      <c r="C75" s="1" t="s">
        <v>17</v>
      </c>
      <c r="D75">
        <v>155.03973479999999</v>
      </c>
      <c r="E75">
        <v>84.62</v>
      </c>
      <c r="F75">
        <v>70.42</v>
      </c>
      <c r="G75">
        <v>0</v>
      </c>
      <c r="H75">
        <v>2.04</v>
      </c>
      <c r="I75">
        <v>1</v>
      </c>
    </row>
    <row r="76" spans="1:9" hidden="1" x14ac:dyDescent="0.3">
      <c r="A76" s="1" t="s">
        <v>705</v>
      </c>
      <c r="B76" s="1" t="s">
        <v>703</v>
      </c>
      <c r="C76" s="1" t="s">
        <v>102</v>
      </c>
      <c r="D76">
        <v>155.03973479999999</v>
      </c>
      <c r="E76">
        <v>84.62</v>
      </c>
      <c r="F76">
        <v>70.42</v>
      </c>
      <c r="G76">
        <v>0</v>
      </c>
      <c r="H76">
        <v>2.1800000000000002</v>
      </c>
      <c r="I76">
        <v>1</v>
      </c>
    </row>
    <row r="77" spans="1:9" hidden="1" x14ac:dyDescent="0.3">
      <c r="A77" s="1" t="s">
        <v>706</v>
      </c>
      <c r="B77" s="1" t="s">
        <v>707</v>
      </c>
      <c r="C77" s="1" t="s">
        <v>16</v>
      </c>
      <c r="D77">
        <v>669.02320264000002</v>
      </c>
      <c r="E77">
        <v>417.49</v>
      </c>
      <c r="F77">
        <v>251.54</v>
      </c>
      <c r="G77">
        <v>0</v>
      </c>
      <c r="H77">
        <v>147.91</v>
      </c>
      <c r="I77">
        <v>1</v>
      </c>
    </row>
    <row r="78" spans="1:9" hidden="1" x14ac:dyDescent="0.3">
      <c r="A78" s="1" t="s">
        <v>708</v>
      </c>
      <c r="B78" s="1" t="s">
        <v>707</v>
      </c>
      <c r="C78" s="1" t="s">
        <v>17</v>
      </c>
      <c r="D78">
        <v>669.02320264000002</v>
      </c>
      <c r="E78">
        <v>417.49</v>
      </c>
      <c r="F78">
        <v>251.54</v>
      </c>
      <c r="G78">
        <v>0</v>
      </c>
      <c r="H78">
        <v>120.39</v>
      </c>
      <c r="I78">
        <v>1</v>
      </c>
    </row>
    <row r="79" spans="1:9" hidden="1" x14ac:dyDescent="0.3">
      <c r="A79" s="1" t="s">
        <v>709</v>
      </c>
      <c r="B79" s="1" t="s">
        <v>707</v>
      </c>
      <c r="C79" s="1" t="s">
        <v>102</v>
      </c>
      <c r="D79">
        <v>669.02320264000002</v>
      </c>
      <c r="E79">
        <v>417.49</v>
      </c>
      <c r="F79">
        <v>251.54</v>
      </c>
      <c r="G79">
        <v>0</v>
      </c>
      <c r="H79">
        <v>131.78</v>
      </c>
      <c r="I79">
        <v>1</v>
      </c>
    </row>
    <row r="80" spans="1:9" hidden="1" x14ac:dyDescent="0.3">
      <c r="A80" s="1" t="s">
        <v>710</v>
      </c>
      <c r="B80" s="1" t="s">
        <v>711</v>
      </c>
      <c r="C80" s="1" t="s">
        <v>16</v>
      </c>
      <c r="D80">
        <v>875.64707764000002</v>
      </c>
      <c r="E80">
        <v>415.64</v>
      </c>
      <c r="F80">
        <v>460.01</v>
      </c>
      <c r="G80">
        <v>0</v>
      </c>
      <c r="H80">
        <v>21.33</v>
      </c>
      <c r="I80">
        <v>1</v>
      </c>
    </row>
    <row r="81" spans="1:9" hidden="1" x14ac:dyDescent="0.3">
      <c r="A81" s="1" t="s">
        <v>712</v>
      </c>
      <c r="B81" s="1" t="s">
        <v>711</v>
      </c>
      <c r="C81" s="1" t="s">
        <v>17</v>
      </c>
      <c r="D81">
        <v>875.64707764000002</v>
      </c>
      <c r="E81">
        <v>415.64</v>
      </c>
      <c r="F81">
        <v>460.01</v>
      </c>
      <c r="G81">
        <v>0</v>
      </c>
      <c r="H81">
        <v>24.5</v>
      </c>
      <c r="I81">
        <v>1</v>
      </c>
    </row>
    <row r="82" spans="1:9" hidden="1" x14ac:dyDescent="0.3">
      <c r="A82" s="1" t="s">
        <v>713</v>
      </c>
      <c r="B82" s="1" t="s">
        <v>711</v>
      </c>
      <c r="C82" s="1" t="s">
        <v>102</v>
      </c>
      <c r="D82">
        <v>875.64707764000002</v>
      </c>
      <c r="E82">
        <v>415.64</v>
      </c>
      <c r="F82">
        <v>460.01</v>
      </c>
      <c r="G82">
        <v>0</v>
      </c>
      <c r="H82">
        <v>21.27</v>
      </c>
      <c r="I82">
        <v>1</v>
      </c>
    </row>
    <row r="83" spans="1:9" hidden="1" x14ac:dyDescent="0.3">
      <c r="A83" s="1" t="s">
        <v>714</v>
      </c>
      <c r="B83" s="1" t="s">
        <v>715</v>
      </c>
      <c r="C83" s="1" t="s">
        <v>16</v>
      </c>
      <c r="D83">
        <v>615.18325637999999</v>
      </c>
      <c r="E83">
        <v>399.18</v>
      </c>
      <c r="F83">
        <v>216</v>
      </c>
      <c r="G83">
        <v>0</v>
      </c>
      <c r="H83">
        <v>31.22</v>
      </c>
      <c r="I83">
        <v>1</v>
      </c>
    </row>
    <row r="84" spans="1:9" hidden="1" x14ac:dyDescent="0.3">
      <c r="A84" s="1" t="s">
        <v>716</v>
      </c>
      <c r="B84" s="1" t="s">
        <v>715</v>
      </c>
      <c r="C84" s="1" t="s">
        <v>17</v>
      </c>
      <c r="D84">
        <v>615.18325637999999</v>
      </c>
      <c r="E84">
        <v>399.18</v>
      </c>
      <c r="F84">
        <v>216</v>
      </c>
      <c r="G84">
        <v>0</v>
      </c>
      <c r="H84">
        <v>43.27</v>
      </c>
      <c r="I84">
        <v>1</v>
      </c>
    </row>
    <row r="85" spans="1:9" hidden="1" x14ac:dyDescent="0.3">
      <c r="A85" s="1" t="s">
        <v>717</v>
      </c>
      <c r="B85" s="1" t="s">
        <v>715</v>
      </c>
      <c r="C85" s="1" t="s">
        <v>102</v>
      </c>
      <c r="D85">
        <v>615.18325637999999</v>
      </c>
      <c r="E85">
        <v>399.18</v>
      </c>
      <c r="F85">
        <v>216</v>
      </c>
      <c r="G85">
        <v>0</v>
      </c>
      <c r="H85">
        <v>35.89</v>
      </c>
      <c r="I85">
        <v>1</v>
      </c>
    </row>
    <row r="86" spans="1:9" hidden="1" x14ac:dyDescent="0.3">
      <c r="A86" s="1" t="s">
        <v>718</v>
      </c>
      <c r="B86" s="1" t="s">
        <v>719</v>
      </c>
      <c r="C86" s="1" t="s">
        <v>16</v>
      </c>
      <c r="D86">
        <v>872.76363796999999</v>
      </c>
      <c r="E86">
        <v>432.56</v>
      </c>
      <c r="F86">
        <v>440.2</v>
      </c>
      <c r="G86">
        <v>0</v>
      </c>
      <c r="H86">
        <v>114.67</v>
      </c>
      <c r="I86">
        <v>1</v>
      </c>
    </row>
    <row r="87" spans="1:9" hidden="1" x14ac:dyDescent="0.3">
      <c r="A87" s="1" t="s">
        <v>720</v>
      </c>
      <c r="B87" s="1" t="s">
        <v>719</v>
      </c>
      <c r="C87" s="1" t="s">
        <v>17</v>
      </c>
      <c r="D87">
        <v>872.76363796999999</v>
      </c>
      <c r="E87">
        <v>432.56</v>
      </c>
      <c r="F87">
        <v>440.2</v>
      </c>
      <c r="G87">
        <v>0</v>
      </c>
      <c r="H87">
        <v>120.62</v>
      </c>
      <c r="I87">
        <v>1</v>
      </c>
    </row>
    <row r="88" spans="1:9" hidden="1" x14ac:dyDescent="0.3">
      <c r="A88" s="1" t="s">
        <v>721</v>
      </c>
      <c r="B88" s="1" t="s">
        <v>719</v>
      </c>
      <c r="C88" s="1" t="s">
        <v>102</v>
      </c>
      <c r="D88">
        <v>872.76363796999999</v>
      </c>
      <c r="E88">
        <v>432.56</v>
      </c>
      <c r="F88">
        <v>440.2</v>
      </c>
      <c r="G88">
        <v>0</v>
      </c>
      <c r="H88">
        <v>100.3</v>
      </c>
      <c r="I88">
        <v>1</v>
      </c>
    </row>
    <row r="89" spans="1:9" hidden="1" x14ac:dyDescent="0.3">
      <c r="A89" s="1" t="s">
        <v>722</v>
      </c>
      <c r="B89" s="1" t="s">
        <v>723</v>
      </c>
      <c r="C89" s="1" t="s">
        <v>16</v>
      </c>
      <c r="D89">
        <v>673.31434578000005</v>
      </c>
      <c r="E89">
        <v>401.5</v>
      </c>
      <c r="F89">
        <v>271.81</v>
      </c>
      <c r="G89">
        <v>0</v>
      </c>
      <c r="H89">
        <v>63.43</v>
      </c>
      <c r="I89">
        <v>1</v>
      </c>
    </row>
    <row r="90" spans="1:9" hidden="1" x14ac:dyDescent="0.3">
      <c r="A90" s="1" t="s">
        <v>724</v>
      </c>
      <c r="B90" s="1" t="s">
        <v>723</v>
      </c>
      <c r="C90" s="1" t="s">
        <v>17</v>
      </c>
      <c r="D90">
        <v>673.31434578000005</v>
      </c>
      <c r="E90">
        <v>401.5</v>
      </c>
      <c r="F90">
        <v>271.81</v>
      </c>
      <c r="G90">
        <v>0</v>
      </c>
      <c r="H90">
        <v>80.790000000000006</v>
      </c>
      <c r="I90">
        <v>1</v>
      </c>
    </row>
    <row r="91" spans="1:9" hidden="1" x14ac:dyDescent="0.3">
      <c r="A91" s="1" t="s">
        <v>725</v>
      </c>
      <c r="B91" s="1" t="s">
        <v>723</v>
      </c>
      <c r="C91" s="1" t="s">
        <v>102</v>
      </c>
      <c r="D91">
        <v>673.31434578000005</v>
      </c>
      <c r="E91">
        <v>401.5</v>
      </c>
      <c r="F91">
        <v>271.81</v>
      </c>
      <c r="G91">
        <v>0</v>
      </c>
      <c r="H91">
        <v>55.93</v>
      </c>
      <c r="I91">
        <v>1</v>
      </c>
    </row>
    <row r="92" spans="1:9" hidden="1" x14ac:dyDescent="0.3">
      <c r="A92" s="1" t="s">
        <v>726</v>
      </c>
      <c r="B92" s="1" t="s">
        <v>727</v>
      </c>
      <c r="C92" s="1" t="s">
        <v>16</v>
      </c>
      <c r="D92">
        <v>168.03982887999999</v>
      </c>
      <c r="E92">
        <v>104.2</v>
      </c>
      <c r="F92">
        <v>63.84</v>
      </c>
      <c r="G92">
        <v>0</v>
      </c>
      <c r="H92">
        <v>6.3</v>
      </c>
      <c r="I92">
        <v>1</v>
      </c>
    </row>
    <row r="93" spans="1:9" hidden="1" x14ac:dyDescent="0.3">
      <c r="A93" s="1" t="s">
        <v>728</v>
      </c>
      <c r="B93" s="1" t="s">
        <v>727</v>
      </c>
      <c r="C93" s="1" t="s">
        <v>17</v>
      </c>
      <c r="D93">
        <v>168.03982887999999</v>
      </c>
      <c r="E93">
        <v>104.2</v>
      </c>
      <c r="F93">
        <v>63.84</v>
      </c>
      <c r="G93">
        <v>0</v>
      </c>
      <c r="H93">
        <v>5.25</v>
      </c>
      <c r="I93">
        <v>1</v>
      </c>
    </row>
    <row r="94" spans="1:9" hidden="1" x14ac:dyDescent="0.3">
      <c r="A94" s="1" t="s">
        <v>729</v>
      </c>
      <c r="B94" s="1" t="s">
        <v>727</v>
      </c>
      <c r="C94" s="1" t="s">
        <v>102</v>
      </c>
      <c r="D94">
        <v>168.03982887999999</v>
      </c>
      <c r="E94">
        <v>104.2</v>
      </c>
      <c r="F94">
        <v>63.84</v>
      </c>
      <c r="G94">
        <v>0</v>
      </c>
      <c r="H94">
        <v>5.2</v>
      </c>
      <c r="I94">
        <v>1</v>
      </c>
    </row>
    <row r="95" spans="1:9" hidden="1" x14ac:dyDescent="0.3">
      <c r="A95" s="1" t="s">
        <v>730</v>
      </c>
      <c r="B95" s="1" t="s">
        <v>731</v>
      </c>
      <c r="C95" s="1" t="s">
        <v>16</v>
      </c>
      <c r="D95">
        <v>197.35531183000001</v>
      </c>
      <c r="E95">
        <v>104.86</v>
      </c>
      <c r="F95">
        <v>92.49</v>
      </c>
      <c r="G95">
        <v>0</v>
      </c>
      <c r="H95">
        <v>8.2899999999999991</v>
      </c>
      <c r="I95">
        <v>1</v>
      </c>
    </row>
    <row r="96" spans="1:9" hidden="1" x14ac:dyDescent="0.3">
      <c r="A96" s="1" t="s">
        <v>732</v>
      </c>
      <c r="B96" s="1" t="s">
        <v>731</v>
      </c>
      <c r="C96" s="1" t="s">
        <v>17</v>
      </c>
      <c r="D96">
        <v>197.35531183000001</v>
      </c>
      <c r="E96">
        <v>104.86</v>
      </c>
      <c r="F96">
        <v>92.49</v>
      </c>
      <c r="G96">
        <v>0</v>
      </c>
      <c r="H96">
        <v>7.39</v>
      </c>
      <c r="I96">
        <v>1</v>
      </c>
    </row>
    <row r="97" spans="1:9" hidden="1" x14ac:dyDescent="0.3">
      <c r="A97" s="1" t="s">
        <v>733</v>
      </c>
      <c r="B97" s="1" t="s">
        <v>731</v>
      </c>
      <c r="C97" s="1" t="s">
        <v>102</v>
      </c>
      <c r="D97">
        <v>197.35531183000001</v>
      </c>
      <c r="E97">
        <v>104.86</v>
      </c>
      <c r="F97">
        <v>92.49</v>
      </c>
      <c r="G97">
        <v>0</v>
      </c>
      <c r="H97">
        <v>8.67</v>
      </c>
      <c r="I97">
        <v>1</v>
      </c>
    </row>
    <row r="98" spans="1:9" hidden="1" x14ac:dyDescent="0.3">
      <c r="A98" s="1" t="s">
        <v>734</v>
      </c>
      <c r="B98" s="1" t="s">
        <v>735</v>
      </c>
      <c r="C98" s="1" t="s">
        <v>16</v>
      </c>
      <c r="D98">
        <v>156.32958883000001</v>
      </c>
      <c r="E98">
        <v>107.68</v>
      </c>
      <c r="F98">
        <v>48.65</v>
      </c>
      <c r="G98">
        <v>0</v>
      </c>
      <c r="H98">
        <v>4.4000000000000004</v>
      </c>
      <c r="I98">
        <v>1</v>
      </c>
    </row>
    <row r="99" spans="1:9" hidden="1" x14ac:dyDescent="0.3">
      <c r="A99" s="1" t="s">
        <v>736</v>
      </c>
      <c r="B99" s="1" t="s">
        <v>735</v>
      </c>
      <c r="C99" s="1" t="s">
        <v>17</v>
      </c>
      <c r="D99">
        <v>156.32958883000001</v>
      </c>
      <c r="E99">
        <v>107.68</v>
      </c>
      <c r="F99">
        <v>48.65</v>
      </c>
      <c r="G99">
        <v>0</v>
      </c>
      <c r="H99">
        <v>4.74</v>
      </c>
      <c r="I99">
        <v>1</v>
      </c>
    </row>
    <row r="100" spans="1:9" hidden="1" x14ac:dyDescent="0.3">
      <c r="A100" s="1" t="s">
        <v>737</v>
      </c>
      <c r="B100" s="1" t="s">
        <v>735</v>
      </c>
      <c r="C100" s="1" t="s">
        <v>102</v>
      </c>
      <c r="D100">
        <v>156.32958883000001</v>
      </c>
      <c r="E100">
        <v>107.68</v>
      </c>
      <c r="F100">
        <v>48.65</v>
      </c>
      <c r="G100">
        <v>0</v>
      </c>
      <c r="H100">
        <v>4.68</v>
      </c>
      <c r="I100">
        <v>1</v>
      </c>
    </row>
    <row r="101" spans="1:9" hidden="1" x14ac:dyDescent="0.3">
      <c r="A101" s="1" t="s">
        <v>738</v>
      </c>
      <c r="B101" s="1" t="s">
        <v>739</v>
      </c>
      <c r="C101" s="1" t="s">
        <v>16</v>
      </c>
      <c r="D101">
        <v>180.29233119</v>
      </c>
      <c r="E101">
        <v>103.65</v>
      </c>
      <c r="F101">
        <v>76.650000000000006</v>
      </c>
      <c r="G101">
        <v>0</v>
      </c>
      <c r="H101">
        <v>4.71</v>
      </c>
      <c r="I101">
        <v>1</v>
      </c>
    </row>
    <row r="102" spans="1:9" hidden="1" x14ac:dyDescent="0.3">
      <c r="A102" s="1" t="s">
        <v>740</v>
      </c>
      <c r="B102" s="1" t="s">
        <v>739</v>
      </c>
      <c r="C102" s="1" t="s">
        <v>17</v>
      </c>
      <c r="D102">
        <v>180.29233119</v>
      </c>
      <c r="E102">
        <v>103.65</v>
      </c>
      <c r="F102">
        <v>76.650000000000006</v>
      </c>
      <c r="G102">
        <v>0</v>
      </c>
      <c r="H102">
        <v>4.7300000000000004</v>
      </c>
      <c r="I102">
        <v>1</v>
      </c>
    </row>
    <row r="103" spans="1:9" hidden="1" x14ac:dyDescent="0.3">
      <c r="A103" s="1" t="s">
        <v>741</v>
      </c>
      <c r="B103" s="1" t="s">
        <v>739</v>
      </c>
      <c r="C103" s="1" t="s">
        <v>102</v>
      </c>
      <c r="D103">
        <v>180.29233119</v>
      </c>
      <c r="E103">
        <v>103.65</v>
      </c>
      <c r="F103">
        <v>76.650000000000006</v>
      </c>
      <c r="G103">
        <v>0</v>
      </c>
      <c r="H103">
        <v>5.24</v>
      </c>
      <c r="I103">
        <v>1</v>
      </c>
    </row>
    <row r="104" spans="1:9" hidden="1" x14ac:dyDescent="0.3">
      <c r="A104" s="1" t="s">
        <v>742</v>
      </c>
      <c r="B104" s="1" t="s">
        <v>743</v>
      </c>
      <c r="C104" s="1" t="s">
        <v>16</v>
      </c>
      <c r="D104">
        <v>231.07773642000001</v>
      </c>
      <c r="E104">
        <v>126.86</v>
      </c>
      <c r="F104">
        <v>104.21</v>
      </c>
      <c r="G104">
        <v>0</v>
      </c>
      <c r="H104">
        <v>22.02</v>
      </c>
      <c r="I104">
        <v>1</v>
      </c>
    </row>
    <row r="105" spans="1:9" hidden="1" x14ac:dyDescent="0.3">
      <c r="A105" s="1" t="s">
        <v>744</v>
      </c>
      <c r="B105" s="1" t="s">
        <v>743</v>
      </c>
      <c r="C105" s="1" t="s">
        <v>17</v>
      </c>
      <c r="D105">
        <v>231.07773642000001</v>
      </c>
      <c r="E105">
        <v>126.86</v>
      </c>
      <c r="F105">
        <v>104.21</v>
      </c>
      <c r="G105">
        <v>0</v>
      </c>
      <c r="H105">
        <v>25.04</v>
      </c>
      <c r="I105">
        <v>1</v>
      </c>
    </row>
    <row r="106" spans="1:9" hidden="1" x14ac:dyDescent="0.3">
      <c r="A106" s="1" t="s">
        <v>745</v>
      </c>
      <c r="B106" s="1" t="s">
        <v>743</v>
      </c>
      <c r="C106" s="1" t="s">
        <v>102</v>
      </c>
      <c r="D106">
        <v>231.07773642000001</v>
      </c>
      <c r="E106">
        <v>126.86</v>
      </c>
      <c r="F106">
        <v>104.21</v>
      </c>
      <c r="G106">
        <v>0</v>
      </c>
      <c r="H106">
        <v>23.16</v>
      </c>
      <c r="I106">
        <v>1</v>
      </c>
    </row>
    <row r="107" spans="1:9" x14ac:dyDescent="0.3">
      <c r="A107" s="1" t="s">
        <v>1696</v>
      </c>
      <c r="B107" s="1" t="s">
        <v>1697</v>
      </c>
      <c r="C107" s="1" t="s">
        <v>16</v>
      </c>
      <c r="D107">
        <v>262.99802846</v>
      </c>
      <c r="E107">
        <v>164.65</v>
      </c>
      <c r="F107">
        <v>98.35</v>
      </c>
      <c r="G107">
        <v>0</v>
      </c>
      <c r="H107">
        <v>12.75</v>
      </c>
      <c r="I107">
        <v>1</v>
      </c>
    </row>
    <row r="108" spans="1:9" hidden="1" x14ac:dyDescent="0.3">
      <c r="A108" s="1" t="s">
        <v>1698</v>
      </c>
      <c r="B108" s="1" t="s">
        <v>1697</v>
      </c>
      <c r="C108" s="1" t="s">
        <v>17</v>
      </c>
      <c r="D108">
        <v>262.99802846</v>
      </c>
      <c r="E108">
        <v>164.65</v>
      </c>
      <c r="F108">
        <v>98.35</v>
      </c>
      <c r="G108">
        <v>0</v>
      </c>
      <c r="H108">
        <v>13.34</v>
      </c>
      <c r="I108">
        <v>1</v>
      </c>
    </row>
    <row r="109" spans="1:9" hidden="1" x14ac:dyDescent="0.3">
      <c r="A109" s="1" t="s">
        <v>1699</v>
      </c>
      <c r="B109" s="1" t="s">
        <v>1697</v>
      </c>
      <c r="C109" s="1" t="s">
        <v>102</v>
      </c>
      <c r="D109">
        <v>262.99802846</v>
      </c>
      <c r="E109">
        <v>164.65</v>
      </c>
      <c r="F109">
        <v>98.35</v>
      </c>
      <c r="G109">
        <v>0</v>
      </c>
      <c r="H109">
        <v>15.18</v>
      </c>
      <c r="I109">
        <v>1</v>
      </c>
    </row>
    <row r="110" spans="1:9" x14ac:dyDescent="0.3">
      <c r="A110" s="1" t="s">
        <v>1700</v>
      </c>
      <c r="B110" s="1" t="s">
        <v>1701</v>
      </c>
      <c r="C110" s="1" t="s">
        <v>16</v>
      </c>
      <c r="D110">
        <v>294.01645559000002</v>
      </c>
      <c r="E110">
        <v>151.01</v>
      </c>
      <c r="F110">
        <v>143.01</v>
      </c>
      <c r="G110">
        <v>0</v>
      </c>
      <c r="H110">
        <v>4.8099999999999996</v>
      </c>
      <c r="I110">
        <v>1</v>
      </c>
    </row>
    <row r="111" spans="1:9" hidden="1" x14ac:dyDescent="0.3">
      <c r="A111" s="1" t="s">
        <v>1702</v>
      </c>
      <c r="B111" s="1" t="s">
        <v>1701</v>
      </c>
      <c r="C111" s="1" t="s">
        <v>17</v>
      </c>
      <c r="D111">
        <v>294.01645559000002</v>
      </c>
      <c r="E111">
        <v>151.01</v>
      </c>
      <c r="F111">
        <v>143.01</v>
      </c>
      <c r="G111">
        <v>0</v>
      </c>
      <c r="H111">
        <v>5.2</v>
      </c>
      <c r="I111">
        <v>1</v>
      </c>
    </row>
    <row r="112" spans="1:9" hidden="1" x14ac:dyDescent="0.3">
      <c r="A112" s="1" t="s">
        <v>1703</v>
      </c>
      <c r="B112" s="1" t="s">
        <v>1701</v>
      </c>
      <c r="C112" s="1" t="s">
        <v>102</v>
      </c>
      <c r="D112">
        <v>294.01645559000002</v>
      </c>
      <c r="E112">
        <v>151.01</v>
      </c>
      <c r="F112">
        <v>143.01</v>
      </c>
      <c r="G112">
        <v>0</v>
      </c>
      <c r="H112">
        <v>5.74</v>
      </c>
      <c r="I112">
        <v>1</v>
      </c>
    </row>
    <row r="113" spans="1:9" x14ac:dyDescent="0.3">
      <c r="A113" s="1" t="s">
        <v>1704</v>
      </c>
      <c r="B113" s="1" t="s">
        <v>1705</v>
      </c>
      <c r="C113" s="1" t="s">
        <v>16</v>
      </c>
      <c r="D113">
        <v>326.96103498000002</v>
      </c>
      <c r="E113">
        <v>171.77</v>
      </c>
      <c r="F113">
        <v>155.19</v>
      </c>
      <c r="G113">
        <v>0</v>
      </c>
      <c r="H113">
        <v>6.72</v>
      </c>
      <c r="I113">
        <v>1</v>
      </c>
    </row>
    <row r="114" spans="1:9" hidden="1" x14ac:dyDescent="0.3">
      <c r="A114" s="1" t="s">
        <v>1706</v>
      </c>
      <c r="B114" s="1" t="s">
        <v>1705</v>
      </c>
      <c r="C114" s="1" t="s">
        <v>17</v>
      </c>
      <c r="D114">
        <v>326.96103498000002</v>
      </c>
      <c r="E114">
        <v>171.77</v>
      </c>
      <c r="F114">
        <v>155.19</v>
      </c>
      <c r="G114">
        <v>0</v>
      </c>
      <c r="H114">
        <v>7.84</v>
      </c>
      <c r="I114">
        <v>1</v>
      </c>
    </row>
    <row r="115" spans="1:9" hidden="1" x14ac:dyDescent="0.3">
      <c r="A115" s="1" t="s">
        <v>1707</v>
      </c>
      <c r="B115" s="1" t="s">
        <v>1705</v>
      </c>
      <c r="C115" s="1" t="s">
        <v>102</v>
      </c>
      <c r="D115">
        <v>326.96103498000002</v>
      </c>
      <c r="E115">
        <v>171.77</v>
      </c>
      <c r="F115">
        <v>155.19</v>
      </c>
      <c r="G115">
        <v>0</v>
      </c>
      <c r="H115">
        <v>8.0299999999999994</v>
      </c>
      <c r="I115">
        <v>1</v>
      </c>
    </row>
    <row r="116" spans="1:9" x14ac:dyDescent="0.3">
      <c r="A116" s="1" t="s">
        <v>1708</v>
      </c>
      <c r="B116" s="1" t="s">
        <v>1709</v>
      </c>
      <c r="C116" s="1" t="s">
        <v>16</v>
      </c>
      <c r="D116">
        <v>220.33714198000001</v>
      </c>
      <c r="E116">
        <v>139.46</v>
      </c>
      <c r="F116">
        <v>80.88</v>
      </c>
      <c r="G116">
        <v>0</v>
      </c>
      <c r="H116">
        <v>7.26</v>
      </c>
      <c r="I116">
        <v>1</v>
      </c>
    </row>
    <row r="117" spans="1:9" hidden="1" x14ac:dyDescent="0.3">
      <c r="A117" s="1" t="s">
        <v>1710</v>
      </c>
      <c r="B117" s="1" t="s">
        <v>1709</v>
      </c>
      <c r="C117" s="1" t="s">
        <v>17</v>
      </c>
      <c r="D117">
        <v>220.33714198000001</v>
      </c>
      <c r="E117">
        <v>139.46</v>
      </c>
      <c r="F117">
        <v>80.88</v>
      </c>
      <c r="G117">
        <v>0</v>
      </c>
      <c r="H117">
        <v>7.81</v>
      </c>
      <c r="I117">
        <v>1</v>
      </c>
    </row>
    <row r="118" spans="1:9" hidden="1" x14ac:dyDescent="0.3">
      <c r="A118" s="1" t="s">
        <v>1711</v>
      </c>
      <c r="B118" s="1" t="s">
        <v>1709</v>
      </c>
      <c r="C118" s="1" t="s">
        <v>102</v>
      </c>
      <c r="D118">
        <v>220.33714198000001</v>
      </c>
      <c r="E118">
        <v>139.46</v>
      </c>
      <c r="F118">
        <v>80.88</v>
      </c>
      <c r="G118">
        <v>0</v>
      </c>
      <c r="H118">
        <v>8.1199999999999992</v>
      </c>
      <c r="I118">
        <v>1</v>
      </c>
    </row>
    <row r="119" spans="1:9" x14ac:dyDescent="0.3">
      <c r="A119" s="1" t="s">
        <v>1712</v>
      </c>
      <c r="B119" s="1" t="s">
        <v>1713</v>
      </c>
      <c r="C119" s="1" t="s">
        <v>16</v>
      </c>
      <c r="D119">
        <v>225.72616502</v>
      </c>
      <c r="E119">
        <v>164.92</v>
      </c>
      <c r="F119">
        <v>60.81</v>
      </c>
      <c r="G119">
        <v>0</v>
      </c>
      <c r="H119">
        <v>3.49</v>
      </c>
      <c r="I119">
        <v>1</v>
      </c>
    </row>
    <row r="120" spans="1:9" hidden="1" x14ac:dyDescent="0.3">
      <c r="A120" s="1" t="s">
        <v>1714</v>
      </c>
      <c r="B120" s="1" t="s">
        <v>1713</v>
      </c>
      <c r="C120" s="1" t="s">
        <v>17</v>
      </c>
      <c r="D120">
        <v>225.72616502</v>
      </c>
      <c r="E120">
        <v>164.92</v>
      </c>
      <c r="F120">
        <v>60.81</v>
      </c>
      <c r="G120">
        <v>0</v>
      </c>
      <c r="H120">
        <v>4.22</v>
      </c>
      <c r="I120">
        <v>1</v>
      </c>
    </row>
    <row r="121" spans="1:9" hidden="1" x14ac:dyDescent="0.3">
      <c r="A121" s="1" t="s">
        <v>1715</v>
      </c>
      <c r="B121" s="1" t="s">
        <v>1713</v>
      </c>
      <c r="C121" s="1" t="s">
        <v>102</v>
      </c>
      <c r="D121">
        <v>225.72616502</v>
      </c>
      <c r="E121">
        <v>164.92</v>
      </c>
      <c r="F121">
        <v>60.81</v>
      </c>
      <c r="G121">
        <v>0</v>
      </c>
      <c r="H121">
        <v>3.69</v>
      </c>
      <c r="I121">
        <v>1</v>
      </c>
    </row>
    <row r="122" spans="1:9" hidden="1" x14ac:dyDescent="0.3">
      <c r="A122" s="1" t="s">
        <v>746</v>
      </c>
      <c r="B122" s="1" t="s">
        <v>747</v>
      </c>
      <c r="C122" s="1" t="s">
        <v>16</v>
      </c>
      <c r="D122">
        <v>1208.5581307499999</v>
      </c>
      <c r="E122">
        <v>756.85</v>
      </c>
      <c r="F122">
        <v>451.71</v>
      </c>
      <c r="G122">
        <v>0</v>
      </c>
      <c r="H122">
        <v>3600.93</v>
      </c>
      <c r="I122">
        <v>1</v>
      </c>
    </row>
    <row r="123" spans="1:9" hidden="1" x14ac:dyDescent="0.3">
      <c r="A123" s="1" t="s">
        <v>748</v>
      </c>
      <c r="B123" s="1" t="s">
        <v>747</v>
      </c>
      <c r="C123" s="1" t="s">
        <v>17</v>
      </c>
      <c r="D123">
        <v>1208.5581307499999</v>
      </c>
      <c r="E123">
        <v>756.85</v>
      </c>
      <c r="F123">
        <v>451.71</v>
      </c>
      <c r="G123">
        <v>0</v>
      </c>
      <c r="H123">
        <v>3600.37</v>
      </c>
      <c r="I123">
        <v>1</v>
      </c>
    </row>
    <row r="124" spans="1:9" hidden="1" x14ac:dyDescent="0.3">
      <c r="A124" s="1" t="s">
        <v>749</v>
      </c>
      <c r="B124" s="1" t="s">
        <v>747</v>
      </c>
      <c r="C124" s="1" t="s">
        <v>102</v>
      </c>
      <c r="D124">
        <v>1208.5581307499999</v>
      </c>
      <c r="E124">
        <v>756.85</v>
      </c>
      <c r="F124">
        <v>451.71</v>
      </c>
      <c r="G124">
        <v>0</v>
      </c>
      <c r="H124">
        <v>3600.33</v>
      </c>
      <c r="I124">
        <v>1</v>
      </c>
    </row>
    <row r="125" spans="1:9" hidden="1" x14ac:dyDescent="0.3">
      <c r="A125" s="1" t="s">
        <v>750</v>
      </c>
      <c r="B125" s="1" t="s">
        <v>751</v>
      </c>
      <c r="C125" s="1" t="s">
        <v>16</v>
      </c>
      <c r="D125">
        <v>1375.20956692</v>
      </c>
      <c r="E125">
        <v>766.26</v>
      </c>
      <c r="F125">
        <v>608.95000000000005</v>
      </c>
      <c r="G125">
        <v>0</v>
      </c>
      <c r="H125">
        <v>247.29</v>
      </c>
      <c r="I125">
        <v>1</v>
      </c>
    </row>
    <row r="126" spans="1:9" hidden="1" x14ac:dyDescent="0.3">
      <c r="A126" s="1" t="s">
        <v>752</v>
      </c>
      <c r="B126" s="1" t="s">
        <v>751</v>
      </c>
      <c r="C126" s="1" t="s">
        <v>17</v>
      </c>
      <c r="D126">
        <v>1375.20956692</v>
      </c>
      <c r="E126">
        <v>766.26</v>
      </c>
      <c r="F126">
        <v>608.95000000000005</v>
      </c>
      <c r="G126">
        <v>0</v>
      </c>
      <c r="H126">
        <v>187.14</v>
      </c>
      <c r="I126">
        <v>1</v>
      </c>
    </row>
    <row r="127" spans="1:9" hidden="1" x14ac:dyDescent="0.3">
      <c r="A127" s="1" t="s">
        <v>753</v>
      </c>
      <c r="B127" s="1" t="s">
        <v>751</v>
      </c>
      <c r="C127" s="1" t="s">
        <v>102</v>
      </c>
      <c r="D127">
        <v>1375.20956692</v>
      </c>
      <c r="E127">
        <v>766.26</v>
      </c>
      <c r="F127">
        <v>608.95000000000005</v>
      </c>
      <c r="G127">
        <v>0</v>
      </c>
      <c r="H127">
        <v>195</v>
      </c>
      <c r="I127">
        <v>1</v>
      </c>
    </row>
    <row r="128" spans="1:9" hidden="1" x14ac:dyDescent="0.3">
      <c r="A128" s="1" t="s">
        <v>754</v>
      </c>
      <c r="B128" s="1" t="s">
        <v>755</v>
      </c>
      <c r="C128" s="1" t="s">
        <v>16</v>
      </c>
      <c r="D128">
        <v>1203.52692695</v>
      </c>
      <c r="E128">
        <v>737.64</v>
      </c>
      <c r="F128">
        <v>465.89</v>
      </c>
      <c r="G128">
        <v>0</v>
      </c>
      <c r="H128">
        <v>352.94</v>
      </c>
      <c r="I128">
        <v>1</v>
      </c>
    </row>
    <row r="129" spans="1:9" hidden="1" x14ac:dyDescent="0.3">
      <c r="A129" s="1" t="s">
        <v>756</v>
      </c>
      <c r="B129" s="1" t="s">
        <v>755</v>
      </c>
      <c r="C129" s="1" t="s">
        <v>17</v>
      </c>
      <c r="D129">
        <v>1203.52692695</v>
      </c>
      <c r="E129">
        <v>737.64</v>
      </c>
      <c r="F129">
        <v>465.89</v>
      </c>
      <c r="G129">
        <v>0</v>
      </c>
      <c r="H129">
        <v>257.75</v>
      </c>
      <c r="I129">
        <v>1</v>
      </c>
    </row>
    <row r="130" spans="1:9" hidden="1" x14ac:dyDescent="0.3">
      <c r="A130" s="1" t="s">
        <v>757</v>
      </c>
      <c r="B130" s="1" t="s">
        <v>755</v>
      </c>
      <c r="C130" s="1" t="s">
        <v>102</v>
      </c>
      <c r="D130">
        <v>1203.52692695</v>
      </c>
      <c r="E130">
        <v>737.64</v>
      </c>
      <c r="F130">
        <v>465.89</v>
      </c>
      <c r="G130">
        <v>0</v>
      </c>
      <c r="H130">
        <v>191.4</v>
      </c>
      <c r="I130">
        <v>1</v>
      </c>
    </row>
    <row r="131" spans="1:9" hidden="1" x14ac:dyDescent="0.3">
      <c r="A131" s="1" t="s">
        <v>758</v>
      </c>
      <c r="B131" s="1" t="s">
        <v>759</v>
      </c>
      <c r="C131" s="1" t="s">
        <v>16</v>
      </c>
      <c r="D131">
        <v>1255.0435796500001</v>
      </c>
      <c r="E131">
        <v>771.06</v>
      </c>
      <c r="F131">
        <v>483.98</v>
      </c>
      <c r="G131">
        <v>0</v>
      </c>
      <c r="H131">
        <v>270.94</v>
      </c>
      <c r="I131">
        <v>1</v>
      </c>
    </row>
    <row r="132" spans="1:9" hidden="1" x14ac:dyDescent="0.3">
      <c r="A132" s="1" t="s">
        <v>760</v>
      </c>
      <c r="B132" s="1" t="s">
        <v>759</v>
      </c>
      <c r="C132" s="1" t="s">
        <v>17</v>
      </c>
      <c r="D132">
        <v>1255.0435796500001</v>
      </c>
      <c r="E132">
        <v>771.06</v>
      </c>
      <c r="F132">
        <v>483.98</v>
      </c>
      <c r="G132">
        <v>0</v>
      </c>
      <c r="H132">
        <v>239.31</v>
      </c>
      <c r="I132">
        <v>1</v>
      </c>
    </row>
    <row r="133" spans="1:9" hidden="1" x14ac:dyDescent="0.3">
      <c r="A133" s="1" t="s">
        <v>761</v>
      </c>
      <c r="B133" s="1" t="s">
        <v>759</v>
      </c>
      <c r="C133" s="1" t="s">
        <v>102</v>
      </c>
      <c r="D133">
        <v>1255.0435796500001</v>
      </c>
      <c r="E133">
        <v>771.06</v>
      </c>
      <c r="F133">
        <v>483.98</v>
      </c>
      <c r="G133">
        <v>0</v>
      </c>
      <c r="H133">
        <v>166.4</v>
      </c>
      <c r="I133">
        <v>1</v>
      </c>
    </row>
    <row r="134" spans="1:9" hidden="1" x14ac:dyDescent="0.3">
      <c r="A134" s="1" t="s">
        <v>762</v>
      </c>
      <c r="B134" s="1" t="s">
        <v>763</v>
      </c>
      <c r="C134" s="1" t="s">
        <v>16</v>
      </c>
      <c r="D134">
        <v>1298.8821658300001</v>
      </c>
      <c r="E134">
        <v>777.39</v>
      </c>
      <c r="F134">
        <v>521.49</v>
      </c>
      <c r="G134">
        <v>0</v>
      </c>
      <c r="H134">
        <v>369.49</v>
      </c>
      <c r="I134">
        <v>1</v>
      </c>
    </row>
    <row r="135" spans="1:9" hidden="1" x14ac:dyDescent="0.3">
      <c r="A135" s="1" t="s">
        <v>764</v>
      </c>
      <c r="B135" s="1" t="s">
        <v>763</v>
      </c>
      <c r="C135" s="1" t="s">
        <v>17</v>
      </c>
      <c r="D135">
        <v>1298.8821658300001</v>
      </c>
      <c r="E135">
        <v>777.39</v>
      </c>
      <c r="F135">
        <v>521.49</v>
      </c>
      <c r="G135">
        <v>0</v>
      </c>
      <c r="H135">
        <v>304.60000000000002</v>
      </c>
      <c r="I135">
        <v>1</v>
      </c>
    </row>
    <row r="136" spans="1:9" hidden="1" x14ac:dyDescent="0.3">
      <c r="A136" s="1" t="s">
        <v>765</v>
      </c>
      <c r="B136" s="1" t="s">
        <v>763</v>
      </c>
      <c r="C136" s="1" t="s">
        <v>102</v>
      </c>
      <c r="D136">
        <v>1298.8821658300001</v>
      </c>
      <c r="E136">
        <v>777.39</v>
      </c>
      <c r="F136">
        <v>521.49</v>
      </c>
      <c r="G136">
        <v>0</v>
      </c>
      <c r="H136">
        <v>218.96</v>
      </c>
      <c r="I136">
        <v>1</v>
      </c>
    </row>
    <row r="137" spans="1:9" hidden="1" x14ac:dyDescent="0.3">
      <c r="A137" s="1" t="s">
        <v>1887</v>
      </c>
      <c r="B137" s="1" t="s">
        <v>1888</v>
      </c>
      <c r="C137" s="1" t="s">
        <v>16</v>
      </c>
      <c r="D137">
        <v>328.47559343</v>
      </c>
      <c r="E137">
        <v>193.23</v>
      </c>
      <c r="F137">
        <v>135.25</v>
      </c>
      <c r="G137">
        <v>0</v>
      </c>
      <c r="H137">
        <v>15.86</v>
      </c>
      <c r="I137">
        <v>1</v>
      </c>
    </row>
    <row r="138" spans="1:9" hidden="1" x14ac:dyDescent="0.3">
      <c r="A138" s="1" t="s">
        <v>1889</v>
      </c>
      <c r="B138" s="1" t="s">
        <v>1888</v>
      </c>
      <c r="C138" s="1" t="s">
        <v>17</v>
      </c>
      <c r="D138">
        <v>328.47559343</v>
      </c>
      <c r="E138">
        <v>193.23</v>
      </c>
      <c r="F138">
        <v>135.25</v>
      </c>
      <c r="G138">
        <v>0</v>
      </c>
      <c r="H138">
        <v>17.420000000000002</v>
      </c>
      <c r="I138">
        <v>1</v>
      </c>
    </row>
    <row r="139" spans="1:9" hidden="1" x14ac:dyDescent="0.3">
      <c r="A139" s="1" t="s">
        <v>1890</v>
      </c>
      <c r="B139" s="1" t="s">
        <v>1888</v>
      </c>
      <c r="C139" s="1" t="s">
        <v>102</v>
      </c>
      <c r="D139">
        <v>328.47559343</v>
      </c>
      <c r="E139">
        <v>193.23</v>
      </c>
      <c r="F139">
        <v>135.25</v>
      </c>
      <c r="G139">
        <v>0</v>
      </c>
      <c r="H139">
        <v>12.44</v>
      </c>
      <c r="I139">
        <v>1</v>
      </c>
    </row>
    <row r="140" spans="1:9" hidden="1" x14ac:dyDescent="0.3">
      <c r="A140" s="1" t="s">
        <v>1891</v>
      </c>
      <c r="B140" s="1" t="s">
        <v>1892</v>
      </c>
      <c r="C140" s="1" t="s">
        <v>16</v>
      </c>
      <c r="D140">
        <v>289.34769091999999</v>
      </c>
      <c r="E140">
        <v>200.49</v>
      </c>
      <c r="F140">
        <v>88.86</v>
      </c>
      <c r="G140">
        <v>0</v>
      </c>
      <c r="H140">
        <v>4.2300000000000004</v>
      </c>
      <c r="I140">
        <v>1</v>
      </c>
    </row>
    <row r="141" spans="1:9" hidden="1" x14ac:dyDescent="0.3">
      <c r="A141" s="1" t="s">
        <v>1893</v>
      </c>
      <c r="B141" s="1" t="s">
        <v>1892</v>
      </c>
      <c r="C141" s="1" t="s">
        <v>17</v>
      </c>
      <c r="D141">
        <v>289.34769091999999</v>
      </c>
      <c r="E141">
        <v>200.49</v>
      </c>
      <c r="F141">
        <v>88.86</v>
      </c>
      <c r="G141">
        <v>0</v>
      </c>
      <c r="H141">
        <v>5.15</v>
      </c>
      <c r="I141">
        <v>1</v>
      </c>
    </row>
    <row r="142" spans="1:9" hidden="1" x14ac:dyDescent="0.3">
      <c r="A142" s="1" t="s">
        <v>1894</v>
      </c>
      <c r="B142" s="1" t="s">
        <v>1892</v>
      </c>
      <c r="C142" s="1" t="s">
        <v>102</v>
      </c>
      <c r="D142">
        <v>289.34769091999999</v>
      </c>
      <c r="E142">
        <v>200.49</v>
      </c>
      <c r="F142">
        <v>88.86</v>
      </c>
      <c r="G142">
        <v>0</v>
      </c>
      <c r="H142">
        <v>3.36</v>
      </c>
      <c r="I142">
        <v>1</v>
      </c>
    </row>
    <row r="143" spans="1:9" hidden="1" x14ac:dyDescent="0.3">
      <c r="A143" s="1" t="s">
        <v>1895</v>
      </c>
      <c r="B143" s="1" t="s">
        <v>1896</v>
      </c>
      <c r="C143" s="1" t="s">
        <v>16</v>
      </c>
      <c r="D143">
        <v>300.82812514</v>
      </c>
      <c r="E143">
        <v>207.78</v>
      </c>
      <c r="F143">
        <v>93.05</v>
      </c>
      <c r="G143">
        <v>0</v>
      </c>
      <c r="H143">
        <v>14.41</v>
      </c>
      <c r="I143">
        <v>1</v>
      </c>
    </row>
    <row r="144" spans="1:9" hidden="1" x14ac:dyDescent="0.3">
      <c r="A144" s="1" t="s">
        <v>1897</v>
      </c>
      <c r="B144" s="1" t="s">
        <v>1896</v>
      </c>
      <c r="C144" s="1" t="s">
        <v>17</v>
      </c>
      <c r="D144">
        <v>300.82812514</v>
      </c>
      <c r="E144">
        <v>207.78</v>
      </c>
      <c r="F144">
        <v>93.05</v>
      </c>
      <c r="G144">
        <v>0</v>
      </c>
      <c r="H144">
        <v>15.45</v>
      </c>
      <c r="I144">
        <v>1</v>
      </c>
    </row>
    <row r="145" spans="1:9" hidden="1" x14ac:dyDescent="0.3">
      <c r="A145" s="1" t="s">
        <v>1898</v>
      </c>
      <c r="B145" s="1" t="s">
        <v>1896</v>
      </c>
      <c r="C145" s="1" t="s">
        <v>102</v>
      </c>
      <c r="D145">
        <v>300.82812514</v>
      </c>
      <c r="E145">
        <v>207.78</v>
      </c>
      <c r="F145">
        <v>93.05</v>
      </c>
      <c r="G145">
        <v>0</v>
      </c>
      <c r="H145">
        <v>10.77</v>
      </c>
      <c r="I145">
        <v>1</v>
      </c>
    </row>
    <row r="146" spans="1:9" hidden="1" x14ac:dyDescent="0.3">
      <c r="A146" s="1" t="s">
        <v>1899</v>
      </c>
      <c r="B146" s="1" t="s">
        <v>1900</v>
      </c>
      <c r="C146" s="1" t="s">
        <v>16</v>
      </c>
      <c r="D146">
        <v>324.9742928</v>
      </c>
      <c r="E146">
        <v>180.08</v>
      </c>
      <c r="F146">
        <v>144.9</v>
      </c>
      <c r="G146">
        <v>0</v>
      </c>
      <c r="H146">
        <v>6.98</v>
      </c>
      <c r="I146">
        <v>1</v>
      </c>
    </row>
    <row r="147" spans="1:9" hidden="1" x14ac:dyDescent="0.3">
      <c r="A147" s="1" t="s">
        <v>1901</v>
      </c>
      <c r="B147" s="1" t="s">
        <v>1900</v>
      </c>
      <c r="C147" s="1" t="s">
        <v>17</v>
      </c>
      <c r="D147">
        <v>324.9742928</v>
      </c>
      <c r="E147">
        <v>180.08</v>
      </c>
      <c r="F147">
        <v>144.9</v>
      </c>
      <c r="G147">
        <v>0</v>
      </c>
      <c r="H147">
        <v>7.89</v>
      </c>
      <c r="I147">
        <v>1</v>
      </c>
    </row>
    <row r="148" spans="1:9" hidden="1" x14ac:dyDescent="0.3">
      <c r="A148" s="1" t="s">
        <v>1902</v>
      </c>
      <c r="B148" s="1" t="s">
        <v>1900</v>
      </c>
      <c r="C148" s="1" t="s">
        <v>102</v>
      </c>
      <c r="D148">
        <v>324.9742928</v>
      </c>
      <c r="E148">
        <v>180.08</v>
      </c>
      <c r="F148">
        <v>144.9</v>
      </c>
      <c r="G148">
        <v>0</v>
      </c>
      <c r="H148">
        <v>4.99</v>
      </c>
      <c r="I148">
        <v>1</v>
      </c>
    </row>
    <row r="149" spans="1:9" hidden="1" x14ac:dyDescent="0.3">
      <c r="A149" s="1" t="s">
        <v>1903</v>
      </c>
      <c r="B149" s="1" t="s">
        <v>1904</v>
      </c>
      <c r="C149" s="1" t="s">
        <v>16</v>
      </c>
      <c r="D149">
        <v>319.5957075</v>
      </c>
      <c r="E149">
        <v>184.36</v>
      </c>
      <c r="F149">
        <v>135.24</v>
      </c>
      <c r="G149">
        <v>0</v>
      </c>
      <c r="H149">
        <v>14.01</v>
      </c>
      <c r="I149">
        <v>1</v>
      </c>
    </row>
    <row r="150" spans="1:9" hidden="1" x14ac:dyDescent="0.3">
      <c r="A150" s="1" t="s">
        <v>1905</v>
      </c>
      <c r="B150" s="1" t="s">
        <v>1904</v>
      </c>
      <c r="C150" s="1" t="s">
        <v>17</v>
      </c>
      <c r="D150">
        <v>319.5957075</v>
      </c>
      <c r="E150">
        <v>184.36</v>
      </c>
      <c r="F150">
        <v>135.24</v>
      </c>
      <c r="G150">
        <v>0</v>
      </c>
      <c r="H150">
        <v>17.46</v>
      </c>
      <c r="I150">
        <v>1</v>
      </c>
    </row>
    <row r="151" spans="1:9" hidden="1" x14ac:dyDescent="0.3">
      <c r="A151" s="1" t="s">
        <v>1906</v>
      </c>
      <c r="B151" s="1" t="s">
        <v>1904</v>
      </c>
      <c r="C151" s="1" t="s">
        <v>102</v>
      </c>
      <c r="D151">
        <v>319.5957075</v>
      </c>
      <c r="E151">
        <v>184.36</v>
      </c>
      <c r="F151">
        <v>135.24</v>
      </c>
      <c r="G151">
        <v>0</v>
      </c>
      <c r="H151">
        <v>9.8000000000000007</v>
      </c>
      <c r="I151">
        <v>1</v>
      </c>
    </row>
    <row r="152" spans="1:9" x14ac:dyDescent="0.3">
      <c r="A152" s="1" t="s">
        <v>1716</v>
      </c>
      <c r="B152" s="1" t="s">
        <v>1717</v>
      </c>
      <c r="C152" s="1" t="s">
        <v>16</v>
      </c>
      <c r="D152">
        <v>335.33493076000002</v>
      </c>
      <c r="E152">
        <v>218.3</v>
      </c>
      <c r="F152">
        <v>117.04</v>
      </c>
      <c r="G152">
        <v>0</v>
      </c>
      <c r="H152">
        <v>15.22</v>
      </c>
      <c r="I152">
        <v>1</v>
      </c>
    </row>
    <row r="153" spans="1:9" hidden="1" x14ac:dyDescent="0.3">
      <c r="A153" s="1" t="s">
        <v>1718</v>
      </c>
      <c r="B153" s="1" t="s">
        <v>1717</v>
      </c>
      <c r="C153" s="1" t="s">
        <v>17</v>
      </c>
      <c r="D153">
        <v>335.33493076000002</v>
      </c>
      <c r="E153">
        <v>218.3</v>
      </c>
      <c r="F153">
        <v>117.04</v>
      </c>
      <c r="G153">
        <v>0</v>
      </c>
      <c r="H153">
        <v>17.84</v>
      </c>
      <c r="I153">
        <v>1</v>
      </c>
    </row>
    <row r="154" spans="1:9" hidden="1" x14ac:dyDescent="0.3">
      <c r="A154" s="1" t="s">
        <v>1719</v>
      </c>
      <c r="B154" s="1" t="s">
        <v>1717</v>
      </c>
      <c r="C154" s="1" t="s">
        <v>102</v>
      </c>
      <c r="D154">
        <v>335.33493076000002</v>
      </c>
      <c r="E154">
        <v>218.3</v>
      </c>
      <c r="F154">
        <v>117.04</v>
      </c>
      <c r="G154">
        <v>0</v>
      </c>
      <c r="H154">
        <v>14.79</v>
      </c>
      <c r="I154">
        <v>1</v>
      </c>
    </row>
    <row r="155" spans="1:9" x14ac:dyDescent="0.3">
      <c r="A155" s="1" t="s">
        <v>1720</v>
      </c>
      <c r="B155" s="1" t="s">
        <v>1721</v>
      </c>
      <c r="C155" s="1" t="s">
        <v>16</v>
      </c>
      <c r="D155">
        <v>346.54478344</v>
      </c>
      <c r="E155">
        <v>226.28</v>
      </c>
      <c r="F155">
        <v>120.26</v>
      </c>
      <c r="G155">
        <v>0</v>
      </c>
      <c r="H155">
        <v>7.89</v>
      </c>
      <c r="I155">
        <v>1</v>
      </c>
    </row>
    <row r="156" spans="1:9" hidden="1" x14ac:dyDescent="0.3">
      <c r="A156" s="1" t="s">
        <v>1722</v>
      </c>
      <c r="B156" s="1" t="s">
        <v>1721</v>
      </c>
      <c r="C156" s="1" t="s">
        <v>17</v>
      </c>
      <c r="D156">
        <v>346.54478344</v>
      </c>
      <c r="E156">
        <v>226.28</v>
      </c>
      <c r="F156">
        <v>120.26</v>
      </c>
      <c r="G156">
        <v>0</v>
      </c>
      <c r="H156">
        <v>10.199999999999999</v>
      </c>
      <c r="I156">
        <v>1</v>
      </c>
    </row>
    <row r="157" spans="1:9" hidden="1" x14ac:dyDescent="0.3">
      <c r="A157" s="1" t="s">
        <v>1723</v>
      </c>
      <c r="B157" s="1" t="s">
        <v>1721</v>
      </c>
      <c r="C157" s="1" t="s">
        <v>102</v>
      </c>
      <c r="D157">
        <v>346.54478344</v>
      </c>
      <c r="E157">
        <v>226.28</v>
      </c>
      <c r="F157">
        <v>120.26</v>
      </c>
      <c r="G157">
        <v>0</v>
      </c>
      <c r="H157">
        <v>8.93</v>
      </c>
      <c r="I157">
        <v>1</v>
      </c>
    </row>
    <row r="158" spans="1:9" x14ac:dyDescent="0.3">
      <c r="A158" s="1" t="s">
        <v>1724</v>
      </c>
      <c r="B158" s="1" t="s">
        <v>1725</v>
      </c>
      <c r="C158" s="1" t="s">
        <v>16</v>
      </c>
      <c r="D158">
        <v>347.01160298999997</v>
      </c>
      <c r="E158">
        <v>219.28</v>
      </c>
      <c r="F158">
        <v>127.73</v>
      </c>
      <c r="G158">
        <v>0</v>
      </c>
      <c r="H158">
        <v>12.15</v>
      </c>
      <c r="I158">
        <v>1</v>
      </c>
    </row>
    <row r="159" spans="1:9" hidden="1" x14ac:dyDescent="0.3">
      <c r="A159" s="1" t="s">
        <v>1726</v>
      </c>
      <c r="B159" s="1" t="s">
        <v>1725</v>
      </c>
      <c r="C159" s="1" t="s">
        <v>17</v>
      </c>
      <c r="D159">
        <v>347.01160298999997</v>
      </c>
      <c r="E159">
        <v>219.28</v>
      </c>
      <c r="F159">
        <v>127.73</v>
      </c>
      <c r="G159">
        <v>0</v>
      </c>
      <c r="H159">
        <v>15.87</v>
      </c>
      <c r="I159">
        <v>1</v>
      </c>
    </row>
    <row r="160" spans="1:9" hidden="1" x14ac:dyDescent="0.3">
      <c r="A160" s="1" t="s">
        <v>1727</v>
      </c>
      <c r="B160" s="1" t="s">
        <v>1725</v>
      </c>
      <c r="C160" s="1" t="s">
        <v>102</v>
      </c>
      <c r="D160">
        <v>347.01160298999997</v>
      </c>
      <c r="E160">
        <v>219.28</v>
      </c>
      <c r="F160">
        <v>127.73</v>
      </c>
      <c r="G160">
        <v>0</v>
      </c>
      <c r="H160">
        <v>12.71</v>
      </c>
      <c r="I160">
        <v>1</v>
      </c>
    </row>
    <row r="161" spans="1:9" x14ac:dyDescent="0.3">
      <c r="A161" s="1" t="s">
        <v>1728</v>
      </c>
      <c r="B161" s="1" t="s">
        <v>1729</v>
      </c>
      <c r="C161" s="1" t="s">
        <v>16</v>
      </c>
      <c r="D161">
        <v>348.67897973999999</v>
      </c>
      <c r="E161">
        <v>239.24</v>
      </c>
      <c r="F161">
        <v>109.44</v>
      </c>
      <c r="G161">
        <v>0</v>
      </c>
      <c r="H161">
        <v>30.79</v>
      </c>
      <c r="I161">
        <v>1</v>
      </c>
    </row>
    <row r="162" spans="1:9" hidden="1" x14ac:dyDescent="0.3">
      <c r="A162" s="1" t="s">
        <v>1730</v>
      </c>
      <c r="B162" s="1" t="s">
        <v>1729</v>
      </c>
      <c r="C162" s="1" t="s">
        <v>17</v>
      </c>
      <c r="D162">
        <v>348.67897973999999</v>
      </c>
      <c r="E162">
        <v>239.24</v>
      </c>
      <c r="F162">
        <v>109.44</v>
      </c>
      <c r="G162">
        <v>0</v>
      </c>
      <c r="H162">
        <v>47.76</v>
      </c>
      <c r="I162">
        <v>1</v>
      </c>
    </row>
    <row r="163" spans="1:9" hidden="1" x14ac:dyDescent="0.3">
      <c r="A163" s="1" t="s">
        <v>1731</v>
      </c>
      <c r="B163" s="1" t="s">
        <v>1729</v>
      </c>
      <c r="C163" s="1" t="s">
        <v>102</v>
      </c>
      <c r="D163">
        <v>348.67897973999999</v>
      </c>
      <c r="E163">
        <v>239.24</v>
      </c>
      <c r="F163">
        <v>109.44</v>
      </c>
      <c r="G163">
        <v>0</v>
      </c>
      <c r="H163">
        <v>47.36</v>
      </c>
      <c r="I163">
        <v>1</v>
      </c>
    </row>
    <row r="164" spans="1:9" x14ac:dyDescent="0.3">
      <c r="A164" s="1" t="s">
        <v>1732</v>
      </c>
      <c r="B164" s="1" t="s">
        <v>1733</v>
      </c>
      <c r="C164" s="1" t="s">
        <v>16</v>
      </c>
      <c r="D164">
        <v>396.54088689999998</v>
      </c>
      <c r="E164">
        <v>226.7</v>
      </c>
      <c r="F164">
        <v>169.84</v>
      </c>
      <c r="G164">
        <v>0</v>
      </c>
      <c r="H164">
        <v>28.29</v>
      </c>
      <c r="I164">
        <v>1</v>
      </c>
    </row>
    <row r="165" spans="1:9" hidden="1" x14ac:dyDescent="0.3">
      <c r="A165" s="1" t="s">
        <v>1734</v>
      </c>
      <c r="B165" s="1" t="s">
        <v>1733</v>
      </c>
      <c r="C165" s="1" t="s">
        <v>17</v>
      </c>
      <c r="D165">
        <v>396.54088689999998</v>
      </c>
      <c r="E165">
        <v>226.7</v>
      </c>
      <c r="F165">
        <v>169.84</v>
      </c>
      <c r="G165">
        <v>0</v>
      </c>
      <c r="H165">
        <v>37.67</v>
      </c>
      <c r="I165">
        <v>1</v>
      </c>
    </row>
    <row r="166" spans="1:9" hidden="1" x14ac:dyDescent="0.3">
      <c r="A166" s="1" t="s">
        <v>1735</v>
      </c>
      <c r="B166" s="1" t="s">
        <v>1733</v>
      </c>
      <c r="C166" s="1" t="s">
        <v>102</v>
      </c>
      <c r="D166">
        <v>396.54088689999998</v>
      </c>
      <c r="E166">
        <v>226.7</v>
      </c>
      <c r="F166">
        <v>169.84</v>
      </c>
      <c r="G166">
        <v>0</v>
      </c>
      <c r="H166">
        <v>42.8</v>
      </c>
      <c r="I166">
        <v>1</v>
      </c>
    </row>
    <row r="167" spans="1:9" hidden="1" x14ac:dyDescent="0.3">
      <c r="A167" s="1" t="s">
        <v>766</v>
      </c>
      <c r="B167" s="1" t="s">
        <v>767</v>
      </c>
      <c r="C167" s="1" t="s">
        <v>16</v>
      </c>
      <c r="D167">
        <v>1877.11863879</v>
      </c>
      <c r="E167">
        <v>1226.58</v>
      </c>
      <c r="F167">
        <v>650.54</v>
      </c>
      <c r="G167">
        <v>0</v>
      </c>
      <c r="H167">
        <v>1071.42</v>
      </c>
      <c r="I167">
        <v>1</v>
      </c>
    </row>
    <row r="168" spans="1:9" hidden="1" x14ac:dyDescent="0.3">
      <c r="A168" s="1" t="s">
        <v>768</v>
      </c>
      <c r="B168" s="1" t="s">
        <v>767</v>
      </c>
      <c r="C168" s="1" t="s">
        <v>17</v>
      </c>
      <c r="D168">
        <v>1877.11863879</v>
      </c>
      <c r="E168">
        <v>1226.58</v>
      </c>
      <c r="F168">
        <v>650.54</v>
      </c>
      <c r="G168">
        <v>0</v>
      </c>
      <c r="H168">
        <v>792.42</v>
      </c>
      <c r="I168">
        <v>1</v>
      </c>
    </row>
    <row r="169" spans="1:9" hidden="1" x14ac:dyDescent="0.3">
      <c r="A169" s="1" t="s">
        <v>769</v>
      </c>
      <c r="B169" s="1" t="s">
        <v>767</v>
      </c>
      <c r="C169" s="1" t="s">
        <v>102</v>
      </c>
      <c r="D169">
        <v>1877.11863879</v>
      </c>
      <c r="E169">
        <v>1226.58</v>
      </c>
      <c r="F169">
        <v>650.54</v>
      </c>
      <c r="G169">
        <v>0</v>
      </c>
      <c r="H169">
        <v>595.37</v>
      </c>
      <c r="I169">
        <v>1</v>
      </c>
    </row>
    <row r="170" spans="1:9" hidden="1" x14ac:dyDescent="0.3">
      <c r="A170" s="1" t="s">
        <v>770</v>
      </c>
      <c r="B170" s="1" t="s">
        <v>771</v>
      </c>
      <c r="C170" s="1" t="s">
        <v>16</v>
      </c>
      <c r="D170">
        <v>1767.60533108</v>
      </c>
      <c r="E170">
        <v>1174.74</v>
      </c>
      <c r="F170">
        <v>592.86</v>
      </c>
      <c r="G170">
        <v>0</v>
      </c>
      <c r="H170">
        <v>577.16</v>
      </c>
      <c r="I170">
        <v>1</v>
      </c>
    </row>
    <row r="171" spans="1:9" hidden="1" x14ac:dyDescent="0.3">
      <c r="A171" s="1" t="s">
        <v>772</v>
      </c>
      <c r="B171" s="1" t="s">
        <v>771</v>
      </c>
      <c r="C171" s="1" t="s">
        <v>17</v>
      </c>
      <c r="D171">
        <v>1767.60533108</v>
      </c>
      <c r="E171">
        <v>1174.74</v>
      </c>
      <c r="F171">
        <v>592.86</v>
      </c>
      <c r="G171">
        <v>0</v>
      </c>
      <c r="H171">
        <v>466.07</v>
      </c>
      <c r="I171">
        <v>1</v>
      </c>
    </row>
    <row r="172" spans="1:9" hidden="1" x14ac:dyDescent="0.3">
      <c r="A172" s="1" t="s">
        <v>773</v>
      </c>
      <c r="B172" s="1" t="s">
        <v>771</v>
      </c>
      <c r="C172" s="1" t="s">
        <v>102</v>
      </c>
      <c r="D172">
        <v>1767.60533108</v>
      </c>
      <c r="E172">
        <v>1174.74</v>
      </c>
      <c r="F172">
        <v>592.86</v>
      </c>
      <c r="G172">
        <v>0</v>
      </c>
      <c r="H172">
        <v>347.15</v>
      </c>
      <c r="I172">
        <v>1</v>
      </c>
    </row>
    <row r="173" spans="1:9" hidden="1" x14ac:dyDescent="0.3">
      <c r="A173" s="1" t="s">
        <v>774</v>
      </c>
      <c r="B173" s="1" t="s">
        <v>775</v>
      </c>
      <c r="C173" s="1" t="s">
        <v>16</v>
      </c>
      <c r="D173">
        <v>1769.4187633500001</v>
      </c>
      <c r="E173">
        <v>1216.52</v>
      </c>
      <c r="F173">
        <v>552.9</v>
      </c>
      <c r="G173">
        <v>0</v>
      </c>
      <c r="H173">
        <v>519.77</v>
      </c>
      <c r="I173">
        <v>1</v>
      </c>
    </row>
    <row r="174" spans="1:9" hidden="1" x14ac:dyDescent="0.3">
      <c r="A174" s="1" t="s">
        <v>776</v>
      </c>
      <c r="B174" s="1" t="s">
        <v>775</v>
      </c>
      <c r="C174" s="1" t="s">
        <v>17</v>
      </c>
      <c r="D174">
        <v>1769.4187633500001</v>
      </c>
      <c r="E174">
        <v>1216.52</v>
      </c>
      <c r="F174">
        <v>552.9</v>
      </c>
      <c r="G174">
        <v>0</v>
      </c>
      <c r="H174">
        <v>416.29</v>
      </c>
      <c r="I174">
        <v>1</v>
      </c>
    </row>
    <row r="175" spans="1:9" hidden="1" x14ac:dyDescent="0.3">
      <c r="A175" s="1" t="s">
        <v>777</v>
      </c>
      <c r="B175" s="1" t="s">
        <v>775</v>
      </c>
      <c r="C175" s="1" t="s">
        <v>102</v>
      </c>
      <c r="D175">
        <v>1769.4187633500001</v>
      </c>
      <c r="E175">
        <v>1216.52</v>
      </c>
      <c r="F175">
        <v>552.9</v>
      </c>
      <c r="G175">
        <v>0</v>
      </c>
      <c r="H175">
        <v>325.16000000000003</v>
      </c>
      <c r="I175">
        <v>1</v>
      </c>
    </row>
    <row r="176" spans="1:9" hidden="1" x14ac:dyDescent="0.3">
      <c r="A176" s="1" t="s">
        <v>778</v>
      </c>
      <c r="B176" s="1" t="s">
        <v>779</v>
      </c>
      <c r="C176" s="1" t="s">
        <v>16</v>
      </c>
      <c r="D176">
        <v>1810.7983752</v>
      </c>
      <c r="E176">
        <v>1133.42</v>
      </c>
      <c r="F176">
        <v>677.38</v>
      </c>
      <c r="G176">
        <v>0</v>
      </c>
      <c r="H176">
        <v>246.63</v>
      </c>
      <c r="I176">
        <v>1</v>
      </c>
    </row>
    <row r="177" spans="1:9" hidden="1" x14ac:dyDescent="0.3">
      <c r="A177" s="1" t="s">
        <v>780</v>
      </c>
      <c r="B177" s="1" t="s">
        <v>779</v>
      </c>
      <c r="C177" s="1" t="s">
        <v>17</v>
      </c>
      <c r="D177">
        <v>1810.7983752</v>
      </c>
      <c r="E177">
        <v>1133.42</v>
      </c>
      <c r="F177">
        <v>677.38</v>
      </c>
      <c r="G177">
        <v>0</v>
      </c>
      <c r="H177">
        <v>222.05</v>
      </c>
      <c r="I177">
        <v>1</v>
      </c>
    </row>
    <row r="178" spans="1:9" hidden="1" x14ac:dyDescent="0.3">
      <c r="A178" s="1" t="s">
        <v>781</v>
      </c>
      <c r="B178" s="1" t="s">
        <v>779</v>
      </c>
      <c r="C178" s="1" t="s">
        <v>102</v>
      </c>
      <c r="D178">
        <v>1810.7983752</v>
      </c>
      <c r="E178">
        <v>1133.42</v>
      </c>
      <c r="F178">
        <v>677.38</v>
      </c>
      <c r="G178">
        <v>0</v>
      </c>
      <c r="H178">
        <v>139.33000000000001</v>
      </c>
      <c r="I178">
        <v>1</v>
      </c>
    </row>
    <row r="179" spans="1:9" hidden="1" x14ac:dyDescent="0.3">
      <c r="A179" s="1" t="s">
        <v>782</v>
      </c>
      <c r="B179" s="1" t="s">
        <v>783</v>
      </c>
      <c r="C179" s="1" t="s">
        <v>16</v>
      </c>
      <c r="D179">
        <v>1916.54900888</v>
      </c>
      <c r="E179">
        <v>1199.3800000000001</v>
      </c>
      <c r="F179">
        <v>717.17</v>
      </c>
      <c r="G179">
        <v>0</v>
      </c>
      <c r="H179">
        <v>640.04</v>
      </c>
      <c r="I179">
        <v>1</v>
      </c>
    </row>
    <row r="180" spans="1:9" hidden="1" x14ac:dyDescent="0.3">
      <c r="A180" s="1" t="s">
        <v>784</v>
      </c>
      <c r="B180" s="1" t="s">
        <v>783</v>
      </c>
      <c r="C180" s="1" t="s">
        <v>17</v>
      </c>
      <c r="D180">
        <v>1916.54900888</v>
      </c>
      <c r="E180">
        <v>1199.3800000000001</v>
      </c>
      <c r="F180">
        <v>717.17</v>
      </c>
      <c r="G180">
        <v>0</v>
      </c>
      <c r="H180">
        <v>338.47</v>
      </c>
      <c r="I180">
        <v>1</v>
      </c>
    </row>
    <row r="181" spans="1:9" hidden="1" x14ac:dyDescent="0.3">
      <c r="A181" s="1" t="s">
        <v>785</v>
      </c>
      <c r="B181" s="1" t="s">
        <v>783</v>
      </c>
      <c r="C181" s="1" t="s">
        <v>102</v>
      </c>
      <c r="D181">
        <v>1916.54900888</v>
      </c>
      <c r="E181">
        <v>1199.3800000000001</v>
      </c>
      <c r="F181">
        <v>717.17</v>
      </c>
      <c r="G181">
        <v>0</v>
      </c>
      <c r="H181">
        <v>591.84</v>
      </c>
      <c r="I181">
        <v>1</v>
      </c>
    </row>
    <row r="182" spans="1:9" hidden="1" x14ac:dyDescent="0.3">
      <c r="A182" s="1" t="s">
        <v>1907</v>
      </c>
      <c r="B182" s="1" t="s">
        <v>1908</v>
      </c>
      <c r="C182" s="1" t="s">
        <v>16</v>
      </c>
      <c r="D182">
        <v>387.93392333999998</v>
      </c>
      <c r="E182">
        <v>290.91000000000003</v>
      </c>
      <c r="F182">
        <v>97.02</v>
      </c>
      <c r="G182">
        <v>0</v>
      </c>
      <c r="H182">
        <v>24.56</v>
      </c>
      <c r="I182">
        <v>1</v>
      </c>
    </row>
    <row r="183" spans="1:9" hidden="1" x14ac:dyDescent="0.3">
      <c r="A183" s="1" t="s">
        <v>1909</v>
      </c>
      <c r="B183" s="1" t="s">
        <v>1908</v>
      </c>
      <c r="C183" s="1" t="s">
        <v>17</v>
      </c>
      <c r="D183">
        <v>387.93392333999998</v>
      </c>
      <c r="E183">
        <v>290.91000000000003</v>
      </c>
      <c r="F183">
        <v>97.02</v>
      </c>
      <c r="G183">
        <v>0</v>
      </c>
      <c r="H183">
        <v>27</v>
      </c>
      <c r="I183">
        <v>1</v>
      </c>
    </row>
    <row r="184" spans="1:9" hidden="1" x14ac:dyDescent="0.3">
      <c r="A184" s="1" t="s">
        <v>1910</v>
      </c>
      <c r="B184" s="1" t="s">
        <v>1908</v>
      </c>
      <c r="C184" s="1" t="s">
        <v>102</v>
      </c>
      <c r="D184">
        <v>387.93392333999998</v>
      </c>
      <c r="E184">
        <v>290.91000000000003</v>
      </c>
      <c r="F184">
        <v>97.02</v>
      </c>
      <c r="G184">
        <v>0</v>
      </c>
      <c r="H184">
        <v>15.1</v>
      </c>
      <c r="I184">
        <v>1</v>
      </c>
    </row>
    <row r="185" spans="1:9" hidden="1" x14ac:dyDescent="0.3">
      <c r="A185" s="1" t="s">
        <v>1911</v>
      </c>
      <c r="B185" s="1" t="s">
        <v>1912</v>
      </c>
      <c r="C185" s="1" t="s">
        <v>16</v>
      </c>
      <c r="D185">
        <v>484.42109742999997</v>
      </c>
      <c r="E185">
        <v>308.43</v>
      </c>
      <c r="F185">
        <v>175.99</v>
      </c>
      <c r="G185">
        <v>0</v>
      </c>
      <c r="H185">
        <v>50.73</v>
      </c>
      <c r="I185">
        <v>1</v>
      </c>
    </row>
    <row r="186" spans="1:9" hidden="1" x14ac:dyDescent="0.3">
      <c r="A186" s="1" t="s">
        <v>1913</v>
      </c>
      <c r="B186" s="1" t="s">
        <v>1912</v>
      </c>
      <c r="C186" s="1" t="s">
        <v>17</v>
      </c>
      <c r="D186">
        <v>484.42109742999997</v>
      </c>
      <c r="E186">
        <v>308.43</v>
      </c>
      <c r="F186">
        <v>175.99</v>
      </c>
      <c r="G186">
        <v>0</v>
      </c>
      <c r="H186">
        <v>47.66</v>
      </c>
      <c r="I186">
        <v>1</v>
      </c>
    </row>
    <row r="187" spans="1:9" hidden="1" x14ac:dyDescent="0.3">
      <c r="A187" s="1" t="s">
        <v>1914</v>
      </c>
      <c r="B187" s="1" t="s">
        <v>1912</v>
      </c>
      <c r="C187" s="1" t="s">
        <v>102</v>
      </c>
      <c r="D187">
        <v>484.42109742999997</v>
      </c>
      <c r="E187">
        <v>308.43</v>
      </c>
      <c r="F187">
        <v>175.99</v>
      </c>
      <c r="G187">
        <v>0</v>
      </c>
      <c r="H187">
        <v>35.57</v>
      </c>
      <c r="I187">
        <v>1</v>
      </c>
    </row>
    <row r="188" spans="1:9" hidden="1" x14ac:dyDescent="0.3">
      <c r="A188" s="1" t="s">
        <v>1915</v>
      </c>
      <c r="B188" s="1" t="s">
        <v>1916</v>
      </c>
      <c r="C188" s="1" t="s">
        <v>16</v>
      </c>
      <c r="D188">
        <v>457.25276130999998</v>
      </c>
      <c r="E188">
        <v>299.75</v>
      </c>
      <c r="F188">
        <v>157.5</v>
      </c>
      <c r="G188">
        <v>0</v>
      </c>
      <c r="H188">
        <v>59.94</v>
      </c>
      <c r="I188">
        <v>1</v>
      </c>
    </row>
    <row r="189" spans="1:9" hidden="1" x14ac:dyDescent="0.3">
      <c r="A189" s="1" t="s">
        <v>1917</v>
      </c>
      <c r="B189" s="1" t="s">
        <v>1916</v>
      </c>
      <c r="C189" s="1" t="s">
        <v>17</v>
      </c>
      <c r="D189">
        <v>457.25276130999998</v>
      </c>
      <c r="E189">
        <v>299.75</v>
      </c>
      <c r="F189">
        <v>157.5</v>
      </c>
      <c r="G189">
        <v>0</v>
      </c>
      <c r="H189">
        <v>54.96</v>
      </c>
      <c r="I189">
        <v>1</v>
      </c>
    </row>
    <row r="190" spans="1:9" hidden="1" x14ac:dyDescent="0.3">
      <c r="A190" s="1" t="s">
        <v>1918</v>
      </c>
      <c r="B190" s="1" t="s">
        <v>1916</v>
      </c>
      <c r="C190" s="1" t="s">
        <v>102</v>
      </c>
      <c r="D190">
        <v>457.25276130999998</v>
      </c>
      <c r="E190">
        <v>299.75</v>
      </c>
      <c r="F190">
        <v>157.5</v>
      </c>
      <c r="G190">
        <v>0</v>
      </c>
      <c r="H190">
        <v>43.65</v>
      </c>
      <c r="I190">
        <v>1</v>
      </c>
    </row>
    <row r="191" spans="1:9" hidden="1" x14ac:dyDescent="0.3">
      <c r="A191" s="1" t="s">
        <v>1919</v>
      </c>
      <c r="B191" s="1" t="s">
        <v>1920</v>
      </c>
      <c r="C191" s="1" t="s">
        <v>16</v>
      </c>
      <c r="D191">
        <v>419.09047784000001</v>
      </c>
      <c r="E191">
        <v>283.86</v>
      </c>
      <c r="F191">
        <v>135.22999999999999</v>
      </c>
      <c r="G191">
        <v>0</v>
      </c>
      <c r="H191">
        <v>61.91</v>
      </c>
      <c r="I191">
        <v>1</v>
      </c>
    </row>
    <row r="192" spans="1:9" hidden="1" x14ac:dyDescent="0.3">
      <c r="A192" s="1" t="s">
        <v>1921</v>
      </c>
      <c r="B192" s="1" t="s">
        <v>1920</v>
      </c>
      <c r="C192" s="1" t="s">
        <v>17</v>
      </c>
      <c r="D192">
        <v>419.09047784000001</v>
      </c>
      <c r="E192">
        <v>283.86</v>
      </c>
      <c r="F192">
        <v>135.22999999999999</v>
      </c>
      <c r="G192">
        <v>0</v>
      </c>
      <c r="H192">
        <v>39.299999999999997</v>
      </c>
      <c r="I192">
        <v>1</v>
      </c>
    </row>
    <row r="193" spans="1:9" hidden="1" x14ac:dyDescent="0.3">
      <c r="A193" s="1" t="s">
        <v>1922</v>
      </c>
      <c r="B193" s="1" t="s">
        <v>1920</v>
      </c>
      <c r="C193" s="1" t="s">
        <v>102</v>
      </c>
      <c r="D193">
        <v>419.09047784000001</v>
      </c>
      <c r="E193">
        <v>283.86</v>
      </c>
      <c r="F193">
        <v>135.22999999999999</v>
      </c>
      <c r="G193">
        <v>0</v>
      </c>
      <c r="H193">
        <v>40.159999999999997</v>
      </c>
      <c r="I193">
        <v>1</v>
      </c>
    </row>
    <row r="194" spans="1:9" hidden="1" x14ac:dyDescent="0.3">
      <c r="A194" s="1" t="s">
        <v>1923</v>
      </c>
      <c r="B194" s="1" t="s">
        <v>1924</v>
      </c>
      <c r="C194" s="1" t="s">
        <v>16</v>
      </c>
      <c r="D194">
        <v>404.35979653999999</v>
      </c>
      <c r="E194">
        <v>234.48</v>
      </c>
      <c r="F194">
        <v>169.88</v>
      </c>
      <c r="G194">
        <v>0</v>
      </c>
      <c r="H194">
        <v>14.47</v>
      </c>
      <c r="I194">
        <v>1</v>
      </c>
    </row>
    <row r="195" spans="1:9" hidden="1" x14ac:dyDescent="0.3">
      <c r="A195" s="1" t="s">
        <v>1925</v>
      </c>
      <c r="B195" s="1" t="s">
        <v>1924</v>
      </c>
      <c r="C195" s="1" t="s">
        <v>17</v>
      </c>
      <c r="D195">
        <v>404.35979653999999</v>
      </c>
      <c r="E195">
        <v>234.48</v>
      </c>
      <c r="F195">
        <v>169.88</v>
      </c>
      <c r="G195">
        <v>0</v>
      </c>
      <c r="H195">
        <v>9.51</v>
      </c>
      <c r="I195">
        <v>1</v>
      </c>
    </row>
    <row r="196" spans="1:9" hidden="1" x14ac:dyDescent="0.3">
      <c r="A196" s="1" t="s">
        <v>1926</v>
      </c>
      <c r="B196" s="1" t="s">
        <v>1924</v>
      </c>
      <c r="C196" s="1" t="s">
        <v>102</v>
      </c>
      <c r="D196">
        <v>404.35979653999999</v>
      </c>
      <c r="E196">
        <v>234.48</v>
      </c>
      <c r="F196">
        <v>169.88</v>
      </c>
      <c r="G196">
        <v>0</v>
      </c>
      <c r="H196">
        <v>13.01</v>
      </c>
      <c r="I196">
        <v>1</v>
      </c>
    </row>
    <row r="197" spans="1:9" x14ac:dyDescent="0.3">
      <c r="A197" s="1" t="s">
        <v>1736</v>
      </c>
      <c r="B197" s="1" t="s">
        <v>1737</v>
      </c>
      <c r="C197" s="1" t="s">
        <v>16</v>
      </c>
      <c r="D197">
        <v>512.01876425</v>
      </c>
      <c r="E197">
        <v>332.96</v>
      </c>
      <c r="F197">
        <v>179.06</v>
      </c>
      <c r="G197">
        <v>0</v>
      </c>
      <c r="H197">
        <v>32.21</v>
      </c>
      <c r="I197">
        <v>1</v>
      </c>
    </row>
    <row r="198" spans="1:9" hidden="1" x14ac:dyDescent="0.3">
      <c r="A198" s="1" t="s">
        <v>1738</v>
      </c>
      <c r="B198" s="1" t="s">
        <v>1737</v>
      </c>
      <c r="C198" s="1" t="s">
        <v>17</v>
      </c>
      <c r="D198">
        <v>512.01876425</v>
      </c>
      <c r="E198">
        <v>332.96</v>
      </c>
      <c r="F198">
        <v>179.06</v>
      </c>
      <c r="G198">
        <v>0</v>
      </c>
      <c r="H198">
        <v>42.41</v>
      </c>
      <c r="I198">
        <v>1</v>
      </c>
    </row>
    <row r="199" spans="1:9" hidden="1" x14ac:dyDescent="0.3">
      <c r="A199" s="1" t="s">
        <v>1739</v>
      </c>
      <c r="B199" s="1" t="s">
        <v>1737</v>
      </c>
      <c r="C199" s="1" t="s">
        <v>102</v>
      </c>
      <c r="D199">
        <v>512.01876425</v>
      </c>
      <c r="E199">
        <v>332.96</v>
      </c>
      <c r="F199">
        <v>179.06</v>
      </c>
      <c r="G199">
        <v>0</v>
      </c>
      <c r="H199">
        <v>43.12</v>
      </c>
      <c r="I199">
        <v>1</v>
      </c>
    </row>
    <row r="200" spans="1:9" x14ac:dyDescent="0.3">
      <c r="A200" s="1" t="s">
        <v>1740</v>
      </c>
      <c r="B200" s="1" t="s">
        <v>1741</v>
      </c>
      <c r="C200" s="1" t="s">
        <v>16</v>
      </c>
      <c r="D200">
        <v>505.60775784999998</v>
      </c>
      <c r="E200">
        <v>299.55</v>
      </c>
      <c r="F200">
        <v>206.06</v>
      </c>
      <c r="G200">
        <v>0</v>
      </c>
      <c r="H200">
        <v>12.64</v>
      </c>
      <c r="I200">
        <v>1</v>
      </c>
    </row>
    <row r="201" spans="1:9" hidden="1" x14ac:dyDescent="0.3">
      <c r="A201" s="1" t="s">
        <v>1742</v>
      </c>
      <c r="B201" s="1" t="s">
        <v>1741</v>
      </c>
      <c r="C201" s="1" t="s">
        <v>17</v>
      </c>
      <c r="D201">
        <v>505.60775784999998</v>
      </c>
      <c r="E201">
        <v>299.55</v>
      </c>
      <c r="F201">
        <v>206.06</v>
      </c>
      <c r="G201">
        <v>0</v>
      </c>
      <c r="H201">
        <v>15.01</v>
      </c>
      <c r="I201">
        <v>1</v>
      </c>
    </row>
    <row r="202" spans="1:9" hidden="1" x14ac:dyDescent="0.3">
      <c r="A202" s="1" t="s">
        <v>1743</v>
      </c>
      <c r="B202" s="1" t="s">
        <v>1741</v>
      </c>
      <c r="C202" s="1" t="s">
        <v>102</v>
      </c>
      <c r="D202">
        <v>505.60775784999998</v>
      </c>
      <c r="E202">
        <v>299.55</v>
      </c>
      <c r="F202">
        <v>206.06</v>
      </c>
      <c r="G202">
        <v>0</v>
      </c>
      <c r="H202">
        <v>17.88</v>
      </c>
      <c r="I202">
        <v>1</v>
      </c>
    </row>
    <row r="203" spans="1:9" x14ac:dyDescent="0.3">
      <c r="A203" s="1" t="s">
        <v>1744</v>
      </c>
      <c r="B203" s="1" t="s">
        <v>1745</v>
      </c>
      <c r="C203" s="1" t="s">
        <v>16</v>
      </c>
      <c r="D203">
        <v>485.95009041999998</v>
      </c>
      <c r="E203">
        <v>329.66</v>
      </c>
      <c r="F203">
        <v>136.29</v>
      </c>
      <c r="G203">
        <v>20</v>
      </c>
      <c r="H203">
        <v>22.48</v>
      </c>
      <c r="I203">
        <v>1</v>
      </c>
    </row>
    <row r="204" spans="1:9" hidden="1" x14ac:dyDescent="0.3">
      <c r="A204" s="1" t="s">
        <v>1746</v>
      </c>
      <c r="B204" s="1" t="s">
        <v>1745</v>
      </c>
      <c r="C204" s="1" t="s">
        <v>17</v>
      </c>
      <c r="D204">
        <v>485.95009041999998</v>
      </c>
      <c r="E204">
        <v>329.66</v>
      </c>
      <c r="F204">
        <v>136.29</v>
      </c>
      <c r="G204">
        <v>20</v>
      </c>
      <c r="H204">
        <v>29.14</v>
      </c>
      <c r="I204">
        <v>1</v>
      </c>
    </row>
    <row r="205" spans="1:9" hidden="1" x14ac:dyDescent="0.3">
      <c r="A205" s="1" t="s">
        <v>1747</v>
      </c>
      <c r="B205" s="1" t="s">
        <v>1745</v>
      </c>
      <c r="C205" s="1" t="s">
        <v>102</v>
      </c>
      <c r="D205">
        <v>485.95009041999998</v>
      </c>
      <c r="E205">
        <v>329.66</v>
      </c>
      <c r="F205">
        <v>136.29</v>
      </c>
      <c r="G205">
        <v>20</v>
      </c>
      <c r="H205">
        <v>27.11</v>
      </c>
      <c r="I205">
        <v>1</v>
      </c>
    </row>
    <row r="206" spans="1:9" x14ac:dyDescent="0.3">
      <c r="A206" s="1" t="s">
        <v>1748</v>
      </c>
      <c r="B206" s="1" t="s">
        <v>1749</v>
      </c>
      <c r="C206" s="1" t="s">
        <v>16</v>
      </c>
      <c r="D206">
        <v>459.95525519</v>
      </c>
      <c r="E206">
        <v>308.14999999999998</v>
      </c>
      <c r="F206">
        <v>151.81</v>
      </c>
      <c r="G206">
        <v>0</v>
      </c>
      <c r="H206">
        <v>31.82</v>
      </c>
      <c r="I206">
        <v>1</v>
      </c>
    </row>
    <row r="207" spans="1:9" hidden="1" x14ac:dyDescent="0.3">
      <c r="A207" s="1" t="s">
        <v>1750</v>
      </c>
      <c r="B207" s="1" t="s">
        <v>1749</v>
      </c>
      <c r="C207" s="1" t="s">
        <v>17</v>
      </c>
      <c r="D207">
        <v>459.95525519</v>
      </c>
      <c r="E207">
        <v>308.14999999999998</v>
      </c>
      <c r="F207">
        <v>151.81</v>
      </c>
      <c r="G207">
        <v>0</v>
      </c>
      <c r="H207">
        <v>38.450000000000003</v>
      </c>
      <c r="I207">
        <v>1</v>
      </c>
    </row>
    <row r="208" spans="1:9" hidden="1" x14ac:dyDescent="0.3">
      <c r="A208" s="1" t="s">
        <v>1751</v>
      </c>
      <c r="B208" s="1" t="s">
        <v>1749</v>
      </c>
      <c r="C208" s="1" t="s">
        <v>102</v>
      </c>
      <c r="D208">
        <v>459.95525519</v>
      </c>
      <c r="E208">
        <v>308.14999999999998</v>
      </c>
      <c r="F208">
        <v>151.81</v>
      </c>
      <c r="G208">
        <v>0</v>
      </c>
      <c r="H208">
        <v>37.130000000000003</v>
      </c>
      <c r="I208">
        <v>1</v>
      </c>
    </row>
    <row r="209" spans="1:9" x14ac:dyDescent="0.3">
      <c r="A209" s="1" t="s">
        <v>1752</v>
      </c>
      <c r="B209" s="1" t="s">
        <v>1753</v>
      </c>
      <c r="C209" s="1" t="s">
        <v>16</v>
      </c>
      <c r="D209">
        <v>496.29280845</v>
      </c>
      <c r="E209">
        <v>312.45</v>
      </c>
      <c r="F209">
        <v>183.84</v>
      </c>
      <c r="G209">
        <v>0</v>
      </c>
      <c r="H209">
        <v>7.74</v>
      </c>
      <c r="I209">
        <v>1</v>
      </c>
    </row>
    <row r="210" spans="1:9" hidden="1" x14ac:dyDescent="0.3">
      <c r="A210" s="1" t="s">
        <v>1754</v>
      </c>
      <c r="B210" s="1" t="s">
        <v>1753</v>
      </c>
      <c r="C210" s="1" t="s">
        <v>17</v>
      </c>
      <c r="D210">
        <v>496.29280845</v>
      </c>
      <c r="E210">
        <v>312.45</v>
      </c>
      <c r="F210">
        <v>183.84</v>
      </c>
      <c r="G210">
        <v>0</v>
      </c>
      <c r="H210">
        <v>6.8</v>
      </c>
      <c r="I210">
        <v>1</v>
      </c>
    </row>
    <row r="211" spans="1:9" hidden="1" x14ac:dyDescent="0.3">
      <c r="A211" s="1" t="s">
        <v>1755</v>
      </c>
      <c r="B211" s="1" t="s">
        <v>1753</v>
      </c>
      <c r="C211" s="1" t="s">
        <v>102</v>
      </c>
      <c r="D211">
        <v>496.29280845</v>
      </c>
      <c r="E211">
        <v>312.45</v>
      </c>
      <c r="F211">
        <v>183.84</v>
      </c>
      <c r="G211">
        <v>0</v>
      </c>
      <c r="H211">
        <v>6.61</v>
      </c>
      <c r="I211">
        <v>1</v>
      </c>
    </row>
    <row r="212" spans="1:9" hidden="1" x14ac:dyDescent="0.3">
      <c r="A212" s="1" t="s">
        <v>786</v>
      </c>
      <c r="B212" s="1" t="s">
        <v>787</v>
      </c>
      <c r="C212" s="1" t="s">
        <v>16</v>
      </c>
      <c r="D212">
        <v>2628.27781671</v>
      </c>
      <c r="E212">
        <v>1754.43</v>
      </c>
      <c r="F212">
        <v>873.85</v>
      </c>
      <c r="G212">
        <v>0</v>
      </c>
      <c r="H212">
        <v>483.11</v>
      </c>
      <c r="I212">
        <v>1</v>
      </c>
    </row>
    <row r="213" spans="1:9" hidden="1" x14ac:dyDescent="0.3">
      <c r="A213" s="1" t="s">
        <v>788</v>
      </c>
      <c r="B213" s="1" t="s">
        <v>787</v>
      </c>
      <c r="C213" s="1" t="s">
        <v>17</v>
      </c>
      <c r="D213">
        <v>2628.27781671</v>
      </c>
      <c r="E213">
        <v>1754.43</v>
      </c>
      <c r="F213">
        <v>873.85</v>
      </c>
      <c r="G213">
        <v>0</v>
      </c>
      <c r="H213">
        <v>374.18</v>
      </c>
      <c r="I213">
        <v>1</v>
      </c>
    </row>
    <row r="214" spans="1:9" hidden="1" x14ac:dyDescent="0.3">
      <c r="A214" s="1" t="s">
        <v>789</v>
      </c>
      <c r="B214" s="1" t="s">
        <v>787</v>
      </c>
      <c r="C214" s="1" t="s">
        <v>102</v>
      </c>
      <c r="D214">
        <v>2628.27781671</v>
      </c>
      <c r="E214">
        <v>1754.43</v>
      </c>
      <c r="F214">
        <v>873.85</v>
      </c>
      <c r="G214">
        <v>0</v>
      </c>
      <c r="H214">
        <v>667.06</v>
      </c>
      <c r="I214">
        <v>1</v>
      </c>
    </row>
    <row r="215" spans="1:9" hidden="1" x14ac:dyDescent="0.3">
      <c r="A215" s="1" t="s">
        <v>790</v>
      </c>
      <c r="B215" s="1" t="s">
        <v>791</v>
      </c>
      <c r="C215" s="1" t="s">
        <v>16</v>
      </c>
      <c r="D215">
        <v>2489.2333634299998</v>
      </c>
      <c r="E215">
        <v>1660.52</v>
      </c>
      <c r="F215">
        <v>828.71</v>
      </c>
      <c r="G215">
        <v>0</v>
      </c>
      <c r="H215">
        <v>405.34</v>
      </c>
      <c r="I215">
        <v>1</v>
      </c>
    </row>
    <row r="216" spans="1:9" hidden="1" x14ac:dyDescent="0.3">
      <c r="A216" s="1" t="s">
        <v>792</v>
      </c>
      <c r="B216" s="1" t="s">
        <v>791</v>
      </c>
      <c r="C216" s="1" t="s">
        <v>17</v>
      </c>
      <c r="D216">
        <v>2489.2333634299998</v>
      </c>
      <c r="E216">
        <v>1660.52</v>
      </c>
      <c r="F216">
        <v>828.71</v>
      </c>
      <c r="G216">
        <v>0</v>
      </c>
      <c r="H216">
        <v>309.67</v>
      </c>
      <c r="I216">
        <v>1</v>
      </c>
    </row>
    <row r="217" spans="1:9" hidden="1" x14ac:dyDescent="0.3">
      <c r="A217" s="1" t="s">
        <v>793</v>
      </c>
      <c r="B217" s="1" t="s">
        <v>791</v>
      </c>
      <c r="C217" s="1" t="s">
        <v>102</v>
      </c>
      <c r="D217">
        <v>2489.2333634299998</v>
      </c>
      <c r="E217">
        <v>1660.52</v>
      </c>
      <c r="F217">
        <v>828.71</v>
      </c>
      <c r="G217">
        <v>0</v>
      </c>
      <c r="H217">
        <v>545.1</v>
      </c>
      <c r="I217">
        <v>1</v>
      </c>
    </row>
    <row r="218" spans="1:9" hidden="1" x14ac:dyDescent="0.3">
      <c r="A218" s="1" t="s">
        <v>794</v>
      </c>
      <c r="B218" s="1" t="s">
        <v>795</v>
      </c>
      <c r="C218" s="1" t="s">
        <v>16</v>
      </c>
      <c r="D218">
        <v>2431.4721356700002</v>
      </c>
      <c r="E218">
        <v>1759.13</v>
      </c>
      <c r="F218">
        <v>672.34</v>
      </c>
      <c r="G218">
        <v>0</v>
      </c>
      <c r="H218">
        <v>454.23</v>
      </c>
      <c r="I218">
        <v>1</v>
      </c>
    </row>
    <row r="219" spans="1:9" hidden="1" x14ac:dyDescent="0.3">
      <c r="A219" s="1" t="s">
        <v>796</v>
      </c>
      <c r="B219" s="1" t="s">
        <v>795</v>
      </c>
      <c r="C219" s="1" t="s">
        <v>17</v>
      </c>
      <c r="D219">
        <v>2431.4721356700002</v>
      </c>
      <c r="E219">
        <v>1759.13</v>
      </c>
      <c r="F219">
        <v>672.34</v>
      </c>
      <c r="G219">
        <v>0</v>
      </c>
      <c r="H219">
        <v>381.42</v>
      </c>
      <c r="I219">
        <v>1</v>
      </c>
    </row>
    <row r="220" spans="1:9" hidden="1" x14ac:dyDescent="0.3">
      <c r="A220" s="1" t="s">
        <v>797</v>
      </c>
      <c r="B220" s="1" t="s">
        <v>795</v>
      </c>
      <c r="C220" s="1" t="s">
        <v>102</v>
      </c>
      <c r="D220">
        <v>2431.4721356700002</v>
      </c>
      <c r="E220">
        <v>1759.13</v>
      </c>
      <c r="F220">
        <v>672.34</v>
      </c>
      <c r="G220">
        <v>0</v>
      </c>
      <c r="H220">
        <v>688.69</v>
      </c>
      <c r="I220">
        <v>1</v>
      </c>
    </row>
    <row r="221" spans="1:9" hidden="1" x14ac:dyDescent="0.3">
      <c r="A221" s="1" t="s">
        <v>798</v>
      </c>
      <c r="B221" s="1" t="s">
        <v>799</v>
      </c>
      <c r="C221" s="1" t="s">
        <v>16</v>
      </c>
      <c r="D221">
        <v>2621.9457205600002</v>
      </c>
      <c r="E221">
        <v>1691.88</v>
      </c>
      <c r="F221">
        <v>930.07</v>
      </c>
      <c r="G221">
        <v>0</v>
      </c>
      <c r="H221">
        <v>334.74</v>
      </c>
      <c r="I221">
        <v>1</v>
      </c>
    </row>
    <row r="222" spans="1:9" hidden="1" x14ac:dyDescent="0.3">
      <c r="A222" s="1" t="s">
        <v>800</v>
      </c>
      <c r="B222" s="1" t="s">
        <v>799</v>
      </c>
      <c r="C222" s="1" t="s">
        <v>17</v>
      </c>
      <c r="D222">
        <v>2621.9457205600002</v>
      </c>
      <c r="E222">
        <v>1691.88</v>
      </c>
      <c r="F222">
        <v>930.07</v>
      </c>
      <c r="G222">
        <v>0</v>
      </c>
      <c r="H222">
        <v>449.17</v>
      </c>
      <c r="I222">
        <v>1</v>
      </c>
    </row>
    <row r="223" spans="1:9" hidden="1" x14ac:dyDescent="0.3">
      <c r="A223" s="1" t="s">
        <v>801</v>
      </c>
      <c r="B223" s="1" t="s">
        <v>799</v>
      </c>
      <c r="C223" s="1" t="s">
        <v>102</v>
      </c>
      <c r="D223">
        <v>2621.9457205600002</v>
      </c>
      <c r="E223">
        <v>1691.88</v>
      </c>
      <c r="F223">
        <v>930.07</v>
      </c>
      <c r="G223">
        <v>0</v>
      </c>
      <c r="H223">
        <v>170.01</v>
      </c>
      <c r="I223">
        <v>1</v>
      </c>
    </row>
    <row r="224" spans="1:9" hidden="1" x14ac:dyDescent="0.3">
      <c r="A224" s="1" t="s">
        <v>802</v>
      </c>
      <c r="B224" s="1" t="s">
        <v>803</v>
      </c>
      <c r="C224" s="1" t="s">
        <v>16</v>
      </c>
      <c r="D224">
        <v>2537.2195221400002</v>
      </c>
      <c r="E224">
        <v>1736.32</v>
      </c>
      <c r="F224">
        <v>800.9</v>
      </c>
      <c r="G224">
        <v>0</v>
      </c>
      <c r="H224">
        <v>341.13</v>
      </c>
      <c r="I224">
        <v>1</v>
      </c>
    </row>
    <row r="225" spans="1:9" hidden="1" x14ac:dyDescent="0.3">
      <c r="A225" s="1" t="s">
        <v>804</v>
      </c>
      <c r="B225" s="1" t="s">
        <v>803</v>
      </c>
      <c r="C225" s="1" t="s">
        <v>17</v>
      </c>
      <c r="D225">
        <v>2537.2195221400002</v>
      </c>
      <c r="E225">
        <v>1736.32</v>
      </c>
      <c r="F225">
        <v>800.9</v>
      </c>
      <c r="G225">
        <v>0</v>
      </c>
      <c r="H225">
        <v>303.06</v>
      </c>
      <c r="I225">
        <v>1</v>
      </c>
    </row>
    <row r="226" spans="1:9" hidden="1" x14ac:dyDescent="0.3">
      <c r="A226" s="1" t="s">
        <v>805</v>
      </c>
      <c r="B226" s="1" t="s">
        <v>803</v>
      </c>
      <c r="C226" s="1" t="s">
        <v>102</v>
      </c>
      <c r="D226">
        <v>2537.2195221400002</v>
      </c>
      <c r="E226">
        <v>1736.32</v>
      </c>
      <c r="F226">
        <v>800.9</v>
      </c>
      <c r="G226">
        <v>0</v>
      </c>
      <c r="H226">
        <v>143.75</v>
      </c>
      <c r="I226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74C2-F6D0-4567-ADCE-7D6A0E420691}">
  <dimension ref="A3:F241"/>
  <sheetViews>
    <sheetView topLeftCell="B1" workbookViewId="0">
      <selection activeCell="B3" sqref="B3"/>
    </sheetView>
  </sheetViews>
  <sheetFormatPr defaultRowHeight="14" x14ac:dyDescent="0.3"/>
  <cols>
    <col min="1" max="1" width="77.9140625" bestFit="1" customWidth="1"/>
    <col min="2" max="2" width="9" bestFit="1" customWidth="1"/>
    <col min="3" max="3" width="7.08203125" bestFit="1" customWidth="1"/>
    <col min="4" max="4" width="29.83203125" bestFit="1" customWidth="1"/>
    <col min="5" max="5" width="77.9140625" bestFit="1" customWidth="1"/>
    <col min="6" max="6" width="9.75" bestFit="1" customWidth="1"/>
    <col min="7" max="7" width="15.08203125" bestFit="1" customWidth="1"/>
    <col min="8" max="20" width="32.58203125" bestFit="1" customWidth="1"/>
    <col min="21" max="25" width="30.9140625" bestFit="1" customWidth="1"/>
    <col min="26" max="27" width="32.58203125" bestFit="1" customWidth="1"/>
    <col min="28" max="31" width="12.33203125" bestFit="1" customWidth="1"/>
    <col min="32" max="32" width="19" bestFit="1" customWidth="1"/>
    <col min="33" max="33" width="32.58203125" bestFit="1" customWidth="1"/>
    <col min="34" max="44" width="12.33203125" bestFit="1" customWidth="1"/>
    <col min="45" max="45" width="11.25" bestFit="1" customWidth="1"/>
    <col min="46" max="50" width="12.33203125" bestFit="1" customWidth="1"/>
    <col min="51" max="51" width="11.25" bestFit="1" customWidth="1"/>
    <col min="52" max="58" width="12.33203125" bestFit="1" customWidth="1"/>
    <col min="59" max="59" width="11.25" bestFit="1" customWidth="1"/>
    <col min="60" max="62" width="12.33203125" bestFit="1" customWidth="1"/>
    <col min="63" max="63" width="11.25" bestFit="1" customWidth="1"/>
    <col min="64" max="69" width="12.33203125" bestFit="1" customWidth="1"/>
    <col min="70" max="70" width="10.1640625" bestFit="1" customWidth="1"/>
    <col min="71" max="71" width="12.33203125" bestFit="1" customWidth="1"/>
    <col min="72" max="73" width="11.25" bestFit="1" customWidth="1"/>
    <col min="74" max="76" width="12.33203125" bestFit="1" customWidth="1"/>
    <col min="77" max="77" width="11.25" bestFit="1" customWidth="1"/>
    <col min="78" max="81" width="12.33203125" bestFit="1" customWidth="1"/>
    <col min="82" max="82" width="35.4140625" bestFit="1" customWidth="1"/>
    <col min="83" max="83" width="21" bestFit="1" customWidth="1"/>
    <col min="84" max="93" width="12.33203125" bestFit="1" customWidth="1"/>
    <col min="94" max="94" width="11.25" bestFit="1" customWidth="1"/>
    <col min="95" max="98" width="12.33203125" bestFit="1" customWidth="1"/>
    <col min="99" max="99" width="11.25" bestFit="1" customWidth="1"/>
    <col min="100" max="105" width="12.33203125" bestFit="1" customWidth="1"/>
    <col min="106" max="106" width="11.25" bestFit="1" customWidth="1"/>
    <col min="107" max="108" width="12.33203125" bestFit="1" customWidth="1"/>
    <col min="109" max="109" width="11.25" bestFit="1" customWidth="1"/>
    <col min="110" max="120" width="12.33203125" bestFit="1" customWidth="1"/>
    <col min="121" max="121" width="11.25" bestFit="1" customWidth="1"/>
    <col min="122" max="123" width="12.33203125" bestFit="1" customWidth="1"/>
    <col min="124" max="124" width="11.25" bestFit="1" customWidth="1"/>
    <col min="125" max="125" width="12.33203125" bestFit="1" customWidth="1"/>
    <col min="126" max="126" width="10.1640625" bestFit="1" customWidth="1"/>
    <col min="127" max="131" width="12.33203125" bestFit="1" customWidth="1"/>
    <col min="132" max="132" width="23.75" bestFit="1" customWidth="1"/>
    <col min="133" max="133" width="12.33203125" bestFit="1" customWidth="1"/>
  </cols>
  <sheetData>
    <row r="3" spans="1:6" x14ac:dyDescent="0.3">
      <c r="A3" s="2" t="s">
        <v>1</v>
      </c>
      <c r="B3" s="2" t="s">
        <v>2</v>
      </c>
      <c r="C3" s="2" t="s">
        <v>3</v>
      </c>
      <c r="D3" s="2" t="s">
        <v>34</v>
      </c>
      <c r="E3" s="2" t="s">
        <v>0</v>
      </c>
      <c r="F3" t="s">
        <v>1949</v>
      </c>
    </row>
    <row r="4" spans="1:6" x14ac:dyDescent="0.3">
      <c r="A4" t="s">
        <v>20</v>
      </c>
      <c r="B4" t="s">
        <v>19</v>
      </c>
      <c r="C4">
        <v>1</v>
      </c>
      <c r="D4" t="s">
        <v>15</v>
      </c>
      <c r="E4" t="s">
        <v>947</v>
      </c>
      <c r="F4" s="1">
        <v>1</v>
      </c>
    </row>
    <row r="5" spans="1:6" x14ac:dyDescent="0.3">
      <c r="A5" t="s">
        <v>20</v>
      </c>
      <c r="B5" t="s">
        <v>19</v>
      </c>
      <c r="C5">
        <v>1</v>
      </c>
      <c r="D5" t="s">
        <v>15</v>
      </c>
      <c r="E5" t="s">
        <v>950</v>
      </c>
      <c r="F5" s="1">
        <v>1</v>
      </c>
    </row>
    <row r="6" spans="1:6" x14ac:dyDescent="0.3">
      <c r="A6" t="s">
        <v>20</v>
      </c>
      <c r="B6" t="s">
        <v>19</v>
      </c>
      <c r="C6">
        <v>1</v>
      </c>
      <c r="D6" t="s">
        <v>15</v>
      </c>
      <c r="E6" t="s">
        <v>182</v>
      </c>
      <c r="F6" s="1">
        <v>1</v>
      </c>
    </row>
    <row r="7" spans="1:6" x14ac:dyDescent="0.3">
      <c r="A7" t="s">
        <v>20</v>
      </c>
      <c r="B7" t="s">
        <v>19</v>
      </c>
      <c r="C7">
        <v>1</v>
      </c>
      <c r="D7" t="s">
        <v>16</v>
      </c>
      <c r="E7" t="s">
        <v>953</v>
      </c>
      <c r="F7" s="1">
        <v>1</v>
      </c>
    </row>
    <row r="8" spans="1:6" x14ac:dyDescent="0.3">
      <c r="A8" t="s">
        <v>20</v>
      </c>
      <c r="B8" t="s">
        <v>19</v>
      </c>
      <c r="C8">
        <v>1</v>
      </c>
      <c r="D8" t="s">
        <v>16</v>
      </c>
      <c r="E8" t="s">
        <v>956</v>
      </c>
      <c r="F8" s="1">
        <v>1</v>
      </c>
    </row>
    <row r="9" spans="1:6" x14ac:dyDescent="0.3">
      <c r="A9" t="s">
        <v>20</v>
      </c>
      <c r="B9" t="s">
        <v>19</v>
      </c>
      <c r="C9">
        <v>1</v>
      </c>
      <c r="D9" t="s">
        <v>16</v>
      </c>
      <c r="E9" t="s">
        <v>957</v>
      </c>
      <c r="F9" s="1">
        <v>1</v>
      </c>
    </row>
    <row r="10" spans="1:6" x14ac:dyDescent="0.3">
      <c r="A10" t="s">
        <v>20</v>
      </c>
      <c r="B10" t="s">
        <v>19</v>
      </c>
      <c r="C10">
        <v>1</v>
      </c>
      <c r="D10" t="s">
        <v>16</v>
      </c>
      <c r="E10" t="s">
        <v>185</v>
      </c>
      <c r="F10" s="1">
        <v>1</v>
      </c>
    </row>
    <row r="11" spans="1:6" x14ac:dyDescent="0.3">
      <c r="A11" t="s">
        <v>20</v>
      </c>
      <c r="B11" t="s">
        <v>19</v>
      </c>
      <c r="C11">
        <v>1</v>
      </c>
      <c r="D11" t="s">
        <v>17</v>
      </c>
      <c r="E11" t="s">
        <v>960</v>
      </c>
      <c r="F11" s="1">
        <v>1</v>
      </c>
    </row>
    <row r="12" spans="1:6" x14ac:dyDescent="0.3">
      <c r="A12" t="s">
        <v>20</v>
      </c>
      <c r="B12" t="s">
        <v>19</v>
      </c>
      <c r="C12">
        <v>1</v>
      </c>
      <c r="D12" t="s">
        <v>17</v>
      </c>
      <c r="E12" t="s">
        <v>963</v>
      </c>
      <c r="F12" s="1">
        <v>1</v>
      </c>
    </row>
    <row r="13" spans="1:6" x14ac:dyDescent="0.3">
      <c r="A13" t="s">
        <v>20</v>
      </c>
      <c r="B13" t="s">
        <v>19</v>
      </c>
      <c r="C13">
        <v>1</v>
      </c>
      <c r="D13" t="s">
        <v>17</v>
      </c>
      <c r="E13" t="s">
        <v>188</v>
      </c>
      <c r="F13" s="1">
        <v>1</v>
      </c>
    </row>
    <row r="14" spans="1:6" x14ac:dyDescent="0.3">
      <c r="A14" t="s">
        <v>20</v>
      </c>
      <c r="B14" t="s">
        <v>19</v>
      </c>
      <c r="C14">
        <v>1</v>
      </c>
      <c r="D14" t="s">
        <v>102</v>
      </c>
      <c r="E14" t="s">
        <v>966</v>
      </c>
      <c r="F14" s="1">
        <v>1</v>
      </c>
    </row>
    <row r="15" spans="1:6" x14ac:dyDescent="0.3">
      <c r="A15" t="s">
        <v>20</v>
      </c>
      <c r="B15" t="s">
        <v>19</v>
      </c>
      <c r="C15">
        <v>1</v>
      </c>
      <c r="D15" t="s">
        <v>102</v>
      </c>
      <c r="E15" t="s">
        <v>191</v>
      </c>
      <c r="F15" s="1">
        <v>1</v>
      </c>
    </row>
    <row r="16" spans="1:6" x14ac:dyDescent="0.3">
      <c r="A16" t="s">
        <v>20</v>
      </c>
      <c r="B16" t="s">
        <v>19</v>
      </c>
      <c r="C16">
        <v>2</v>
      </c>
      <c r="D16" t="s">
        <v>15</v>
      </c>
      <c r="E16" t="s">
        <v>969</v>
      </c>
      <c r="F16" s="1">
        <v>1</v>
      </c>
    </row>
    <row r="17" spans="1:6" x14ac:dyDescent="0.3">
      <c r="A17" t="s">
        <v>20</v>
      </c>
      <c r="B17" t="s">
        <v>19</v>
      </c>
      <c r="C17">
        <v>2</v>
      </c>
      <c r="D17" t="s">
        <v>15</v>
      </c>
      <c r="E17" t="s">
        <v>194</v>
      </c>
      <c r="F17" s="1">
        <v>1</v>
      </c>
    </row>
    <row r="18" spans="1:6" x14ac:dyDescent="0.3">
      <c r="A18" t="s">
        <v>20</v>
      </c>
      <c r="B18" t="s">
        <v>19</v>
      </c>
      <c r="C18">
        <v>2</v>
      </c>
      <c r="D18" t="s">
        <v>16</v>
      </c>
      <c r="E18" t="s">
        <v>970</v>
      </c>
      <c r="F18" s="1">
        <v>1</v>
      </c>
    </row>
    <row r="19" spans="1:6" x14ac:dyDescent="0.3">
      <c r="A19" t="s">
        <v>20</v>
      </c>
      <c r="B19" t="s">
        <v>19</v>
      </c>
      <c r="C19">
        <v>2</v>
      </c>
      <c r="D19" t="s">
        <v>16</v>
      </c>
      <c r="E19" t="s">
        <v>972</v>
      </c>
      <c r="F19" s="1">
        <v>1</v>
      </c>
    </row>
    <row r="20" spans="1:6" x14ac:dyDescent="0.3">
      <c r="A20" t="s">
        <v>20</v>
      </c>
      <c r="B20" t="s">
        <v>19</v>
      </c>
      <c r="C20">
        <v>2</v>
      </c>
      <c r="D20" t="s">
        <v>16</v>
      </c>
      <c r="E20" t="s">
        <v>973</v>
      </c>
      <c r="F20" s="1">
        <v>1</v>
      </c>
    </row>
    <row r="21" spans="1:6" x14ac:dyDescent="0.3">
      <c r="A21" t="s">
        <v>20</v>
      </c>
      <c r="B21" t="s">
        <v>19</v>
      </c>
      <c r="C21">
        <v>2</v>
      </c>
      <c r="D21" t="s">
        <v>16</v>
      </c>
      <c r="E21" t="s">
        <v>197</v>
      </c>
      <c r="F21" s="1">
        <v>1</v>
      </c>
    </row>
    <row r="22" spans="1:6" x14ac:dyDescent="0.3">
      <c r="A22" t="s">
        <v>20</v>
      </c>
      <c r="B22" t="s">
        <v>19</v>
      </c>
      <c r="C22">
        <v>2</v>
      </c>
      <c r="D22" t="s">
        <v>17</v>
      </c>
      <c r="E22" t="s">
        <v>976</v>
      </c>
      <c r="F22" s="1">
        <v>1</v>
      </c>
    </row>
    <row r="23" spans="1:6" x14ac:dyDescent="0.3">
      <c r="A23" t="s">
        <v>20</v>
      </c>
      <c r="B23" t="s">
        <v>19</v>
      </c>
      <c r="C23">
        <v>2</v>
      </c>
      <c r="D23" t="s">
        <v>17</v>
      </c>
      <c r="E23" t="s">
        <v>978</v>
      </c>
      <c r="F23" s="1">
        <v>1</v>
      </c>
    </row>
    <row r="24" spans="1:6" x14ac:dyDescent="0.3">
      <c r="A24" t="s">
        <v>20</v>
      </c>
      <c r="B24" t="s">
        <v>19</v>
      </c>
      <c r="C24">
        <v>2</v>
      </c>
      <c r="D24" t="s">
        <v>17</v>
      </c>
      <c r="E24" t="s">
        <v>200</v>
      </c>
      <c r="F24" s="1">
        <v>1</v>
      </c>
    </row>
    <row r="25" spans="1:6" x14ac:dyDescent="0.3">
      <c r="A25" t="s">
        <v>20</v>
      </c>
      <c r="B25" t="s">
        <v>19</v>
      </c>
      <c r="C25">
        <v>2</v>
      </c>
      <c r="D25" t="s">
        <v>102</v>
      </c>
      <c r="E25" t="s">
        <v>981</v>
      </c>
      <c r="F25" s="1">
        <v>1</v>
      </c>
    </row>
    <row r="26" spans="1:6" x14ac:dyDescent="0.3">
      <c r="A26" t="s">
        <v>20</v>
      </c>
      <c r="B26" t="s">
        <v>19</v>
      </c>
      <c r="C26">
        <v>2</v>
      </c>
      <c r="D26" t="s">
        <v>102</v>
      </c>
      <c r="E26" t="s">
        <v>203</v>
      </c>
      <c r="F26" s="1">
        <v>1</v>
      </c>
    </row>
    <row r="27" spans="1:6" x14ac:dyDescent="0.3">
      <c r="A27" t="s">
        <v>20</v>
      </c>
      <c r="B27" t="s">
        <v>19</v>
      </c>
      <c r="C27">
        <v>3</v>
      </c>
      <c r="D27" t="s">
        <v>15</v>
      </c>
      <c r="E27" t="s">
        <v>983</v>
      </c>
      <c r="F27" s="1">
        <v>1</v>
      </c>
    </row>
    <row r="28" spans="1:6" x14ac:dyDescent="0.3">
      <c r="A28" t="s">
        <v>20</v>
      </c>
      <c r="B28" t="s">
        <v>19</v>
      </c>
      <c r="C28">
        <v>3</v>
      </c>
      <c r="D28" t="s">
        <v>15</v>
      </c>
      <c r="E28" t="s">
        <v>984</v>
      </c>
      <c r="F28" s="1">
        <v>1</v>
      </c>
    </row>
    <row r="29" spans="1:6" x14ac:dyDescent="0.3">
      <c r="A29" t="s">
        <v>20</v>
      </c>
      <c r="B29" t="s">
        <v>19</v>
      </c>
      <c r="C29">
        <v>3</v>
      </c>
      <c r="D29" t="s">
        <v>15</v>
      </c>
      <c r="E29" t="s">
        <v>206</v>
      </c>
      <c r="F29" s="1">
        <v>1</v>
      </c>
    </row>
    <row r="30" spans="1:6" x14ac:dyDescent="0.3">
      <c r="A30" t="s">
        <v>20</v>
      </c>
      <c r="B30" t="s">
        <v>19</v>
      </c>
      <c r="C30">
        <v>3</v>
      </c>
      <c r="D30" t="s">
        <v>16</v>
      </c>
      <c r="E30" t="s">
        <v>987</v>
      </c>
      <c r="F30" s="1">
        <v>1</v>
      </c>
    </row>
    <row r="31" spans="1:6" x14ac:dyDescent="0.3">
      <c r="A31" t="s">
        <v>20</v>
      </c>
      <c r="B31" t="s">
        <v>19</v>
      </c>
      <c r="C31">
        <v>3</v>
      </c>
      <c r="D31" t="s">
        <v>16</v>
      </c>
      <c r="E31" t="s">
        <v>988</v>
      </c>
      <c r="F31" s="1">
        <v>1</v>
      </c>
    </row>
    <row r="32" spans="1:6" x14ac:dyDescent="0.3">
      <c r="A32" t="s">
        <v>20</v>
      </c>
      <c r="B32" t="s">
        <v>19</v>
      </c>
      <c r="C32">
        <v>3</v>
      </c>
      <c r="D32" t="s">
        <v>16</v>
      </c>
      <c r="E32" t="s">
        <v>989</v>
      </c>
      <c r="F32" s="1">
        <v>1</v>
      </c>
    </row>
    <row r="33" spans="1:6" x14ac:dyDescent="0.3">
      <c r="A33" t="s">
        <v>20</v>
      </c>
      <c r="B33" t="s">
        <v>19</v>
      </c>
      <c r="C33">
        <v>3</v>
      </c>
      <c r="D33" t="s">
        <v>16</v>
      </c>
      <c r="E33" t="s">
        <v>209</v>
      </c>
      <c r="F33" s="1">
        <v>1</v>
      </c>
    </row>
    <row r="34" spans="1:6" x14ac:dyDescent="0.3">
      <c r="A34" t="s">
        <v>20</v>
      </c>
      <c r="B34" t="s">
        <v>19</v>
      </c>
      <c r="C34">
        <v>3</v>
      </c>
      <c r="D34" t="s">
        <v>17</v>
      </c>
      <c r="E34" t="s">
        <v>992</v>
      </c>
      <c r="F34" s="1">
        <v>1</v>
      </c>
    </row>
    <row r="35" spans="1:6" x14ac:dyDescent="0.3">
      <c r="A35" t="s">
        <v>20</v>
      </c>
      <c r="B35" t="s">
        <v>19</v>
      </c>
      <c r="C35">
        <v>3</v>
      </c>
      <c r="D35" t="s">
        <v>17</v>
      </c>
      <c r="E35" t="s">
        <v>994</v>
      </c>
      <c r="F35" s="1">
        <v>1</v>
      </c>
    </row>
    <row r="36" spans="1:6" x14ac:dyDescent="0.3">
      <c r="A36" t="s">
        <v>20</v>
      </c>
      <c r="B36" t="s">
        <v>19</v>
      </c>
      <c r="C36">
        <v>3</v>
      </c>
      <c r="D36" t="s">
        <v>17</v>
      </c>
      <c r="E36" t="s">
        <v>212</v>
      </c>
      <c r="F36" s="1">
        <v>1</v>
      </c>
    </row>
    <row r="37" spans="1:6" x14ac:dyDescent="0.3">
      <c r="A37" t="s">
        <v>20</v>
      </c>
      <c r="B37" t="s">
        <v>19</v>
      </c>
      <c r="C37">
        <v>3</v>
      </c>
      <c r="D37" t="s">
        <v>102</v>
      </c>
      <c r="E37" t="s">
        <v>996</v>
      </c>
      <c r="F37" s="1">
        <v>1</v>
      </c>
    </row>
    <row r="38" spans="1:6" x14ac:dyDescent="0.3">
      <c r="A38" t="s">
        <v>20</v>
      </c>
      <c r="B38" t="s">
        <v>19</v>
      </c>
      <c r="C38">
        <v>3</v>
      </c>
      <c r="D38" t="s">
        <v>102</v>
      </c>
      <c r="E38" t="s">
        <v>997</v>
      </c>
      <c r="F38" s="1">
        <v>1</v>
      </c>
    </row>
    <row r="39" spans="1:6" x14ac:dyDescent="0.3">
      <c r="A39" t="s">
        <v>20</v>
      </c>
      <c r="B39" t="s">
        <v>19</v>
      </c>
      <c r="C39">
        <v>3</v>
      </c>
      <c r="D39" t="s">
        <v>102</v>
      </c>
      <c r="E39" t="s">
        <v>215</v>
      </c>
      <c r="F39" s="1">
        <v>1</v>
      </c>
    </row>
    <row r="40" spans="1:6" x14ac:dyDescent="0.3">
      <c r="A40" t="s">
        <v>20</v>
      </c>
      <c r="B40" t="s">
        <v>19</v>
      </c>
      <c r="C40">
        <v>4</v>
      </c>
      <c r="D40" t="s">
        <v>15</v>
      </c>
      <c r="E40" t="s">
        <v>999</v>
      </c>
      <c r="F40" s="1">
        <v>1</v>
      </c>
    </row>
    <row r="41" spans="1:6" x14ac:dyDescent="0.3">
      <c r="A41" t="s">
        <v>20</v>
      </c>
      <c r="B41" t="s">
        <v>19</v>
      </c>
      <c r="C41">
        <v>4</v>
      </c>
      <c r="D41" t="s">
        <v>15</v>
      </c>
      <c r="E41" t="s">
        <v>1000</v>
      </c>
      <c r="F41" s="1">
        <v>1</v>
      </c>
    </row>
    <row r="42" spans="1:6" x14ac:dyDescent="0.3">
      <c r="A42" t="s">
        <v>20</v>
      </c>
      <c r="B42" t="s">
        <v>19</v>
      </c>
      <c r="C42">
        <v>4</v>
      </c>
      <c r="D42" t="s">
        <v>15</v>
      </c>
      <c r="E42" t="s">
        <v>217</v>
      </c>
      <c r="F42" s="1">
        <v>1</v>
      </c>
    </row>
    <row r="43" spans="1:6" x14ac:dyDescent="0.3">
      <c r="A43" t="s">
        <v>20</v>
      </c>
      <c r="B43" t="s">
        <v>19</v>
      </c>
      <c r="C43">
        <v>4</v>
      </c>
      <c r="D43" t="s">
        <v>16</v>
      </c>
      <c r="E43" t="s">
        <v>1002</v>
      </c>
      <c r="F43" s="1">
        <v>1</v>
      </c>
    </row>
    <row r="44" spans="1:6" x14ac:dyDescent="0.3">
      <c r="A44" t="s">
        <v>20</v>
      </c>
      <c r="B44" t="s">
        <v>19</v>
      </c>
      <c r="C44">
        <v>4</v>
      </c>
      <c r="D44" t="s">
        <v>16</v>
      </c>
      <c r="E44" t="s">
        <v>1003</v>
      </c>
      <c r="F44" s="1">
        <v>1</v>
      </c>
    </row>
    <row r="45" spans="1:6" x14ac:dyDescent="0.3">
      <c r="A45" t="s">
        <v>20</v>
      </c>
      <c r="B45" t="s">
        <v>19</v>
      </c>
      <c r="C45">
        <v>4</v>
      </c>
      <c r="D45" t="s">
        <v>16</v>
      </c>
      <c r="E45" t="s">
        <v>1006</v>
      </c>
      <c r="F45" s="1">
        <v>1</v>
      </c>
    </row>
    <row r="46" spans="1:6" x14ac:dyDescent="0.3">
      <c r="A46" t="s">
        <v>20</v>
      </c>
      <c r="B46" t="s">
        <v>19</v>
      </c>
      <c r="C46">
        <v>4</v>
      </c>
      <c r="D46" t="s">
        <v>16</v>
      </c>
      <c r="E46" t="s">
        <v>220</v>
      </c>
      <c r="F46" s="1">
        <v>1</v>
      </c>
    </row>
    <row r="47" spans="1:6" x14ac:dyDescent="0.3">
      <c r="A47" t="s">
        <v>20</v>
      </c>
      <c r="B47" t="s">
        <v>19</v>
      </c>
      <c r="C47">
        <v>4</v>
      </c>
      <c r="D47" t="s">
        <v>17</v>
      </c>
      <c r="E47" t="s">
        <v>1007</v>
      </c>
      <c r="F47" s="1">
        <v>1</v>
      </c>
    </row>
    <row r="48" spans="1:6" x14ac:dyDescent="0.3">
      <c r="A48" t="s">
        <v>20</v>
      </c>
      <c r="B48" t="s">
        <v>19</v>
      </c>
      <c r="C48">
        <v>4</v>
      </c>
      <c r="D48" t="s">
        <v>17</v>
      </c>
      <c r="E48" t="s">
        <v>1009</v>
      </c>
      <c r="F48" s="1">
        <v>1</v>
      </c>
    </row>
    <row r="49" spans="1:6" x14ac:dyDescent="0.3">
      <c r="A49" t="s">
        <v>20</v>
      </c>
      <c r="B49" t="s">
        <v>19</v>
      </c>
      <c r="C49">
        <v>4</v>
      </c>
      <c r="D49" t="s">
        <v>17</v>
      </c>
      <c r="E49" t="s">
        <v>223</v>
      </c>
      <c r="F49" s="1">
        <v>1</v>
      </c>
    </row>
    <row r="50" spans="1:6" x14ac:dyDescent="0.3">
      <c r="A50" t="s">
        <v>20</v>
      </c>
      <c r="B50" t="s">
        <v>19</v>
      </c>
      <c r="C50">
        <v>4</v>
      </c>
      <c r="D50" t="s">
        <v>102</v>
      </c>
      <c r="E50" t="s">
        <v>1011</v>
      </c>
      <c r="F50" s="1">
        <v>1</v>
      </c>
    </row>
    <row r="51" spans="1:6" x14ac:dyDescent="0.3">
      <c r="A51" t="s">
        <v>20</v>
      </c>
      <c r="B51" t="s">
        <v>19</v>
      </c>
      <c r="C51">
        <v>4</v>
      </c>
      <c r="D51" t="s">
        <v>102</v>
      </c>
      <c r="E51" t="s">
        <v>226</v>
      </c>
      <c r="F51" s="1">
        <v>1</v>
      </c>
    </row>
    <row r="52" spans="1:6" x14ac:dyDescent="0.3">
      <c r="A52" t="s">
        <v>20</v>
      </c>
      <c r="B52" t="s">
        <v>19</v>
      </c>
      <c r="C52">
        <v>5</v>
      </c>
      <c r="D52" t="s">
        <v>15</v>
      </c>
      <c r="E52" t="s">
        <v>1014</v>
      </c>
      <c r="F52" s="1">
        <v>1</v>
      </c>
    </row>
    <row r="53" spans="1:6" x14ac:dyDescent="0.3">
      <c r="A53" t="s">
        <v>20</v>
      </c>
      <c r="B53" t="s">
        <v>19</v>
      </c>
      <c r="C53">
        <v>5</v>
      </c>
      <c r="D53" t="s">
        <v>15</v>
      </c>
      <c r="E53" t="s">
        <v>1015</v>
      </c>
      <c r="F53" s="1">
        <v>1</v>
      </c>
    </row>
    <row r="54" spans="1:6" x14ac:dyDescent="0.3">
      <c r="A54" t="s">
        <v>20</v>
      </c>
      <c r="B54" t="s">
        <v>19</v>
      </c>
      <c r="C54">
        <v>5</v>
      </c>
      <c r="D54" t="s">
        <v>15</v>
      </c>
      <c r="E54" t="s">
        <v>229</v>
      </c>
      <c r="F54" s="1">
        <v>1</v>
      </c>
    </row>
    <row r="55" spans="1:6" x14ac:dyDescent="0.3">
      <c r="A55" t="s">
        <v>20</v>
      </c>
      <c r="B55" t="s">
        <v>19</v>
      </c>
      <c r="C55">
        <v>5</v>
      </c>
      <c r="D55" t="s">
        <v>16</v>
      </c>
      <c r="E55" t="s">
        <v>1018</v>
      </c>
      <c r="F55" s="1">
        <v>1</v>
      </c>
    </row>
    <row r="56" spans="1:6" x14ac:dyDescent="0.3">
      <c r="A56" t="s">
        <v>20</v>
      </c>
      <c r="B56" t="s">
        <v>19</v>
      </c>
      <c r="C56">
        <v>5</v>
      </c>
      <c r="D56" t="s">
        <v>16</v>
      </c>
      <c r="E56" t="s">
        <v>1019</v>
      </c>
      <c r="F56" s="1">
        <v>1</v>
      </c>
    </row>
    <row r="57" spans="1:6" x14ac:dyDescent="0.3">
      <c r="A57" t="s">
        <v>20</v>
      </c>
      <c r="B57" t="s">
        <v>19</v>
      </c>
      <c r="C57">
        <v>5</v>
      </c>
      <c r="D57" t="s">
        <v>16</v>
      </c>
      <c r="E57" t="s">
        <v>1022</v>
      </c>
      <c r="F57" s="1">
        <v>1</v>
      </c>
    </row>
    <row r="58" spans="1:6" x14ac:dyDescent="0.3">
      <c r="A58" t="s">
        <v>20</v>
      </c>
      <c r="B58" t="s">
        <v>19</v>
      </c>
      <c r="C58">
        <v>5</v>
      </c>
      <c r="D58" t="s">
        <v>16</v>
      </c>
      <c r="E58" t="s">
        <v>232</v>
      </c>
      <c r="F58" s="1">
        <v>1</v>
      </c>
    </row>
    <row r="59" spans="1:6" x14ac:dyDescent="0.3">
      <c r="A59" t="s">
        <v>20</v>
      </c>
      <c r="B59" t="s">
        <v>19</v>
      </c>
      <c r="C59">
        <v>5</v>
      </c>
      <c r="D59" t="s">
        <v>17</v>
      </c>
      <c r="E59" t="s">
        <v>1025</v>
      </c>
      <c r="F59" s="1">
        <v>1</v>
      </c>
    </row>
    <row r="60" spans="1:6" x14ac:dyDescent="0.3">
      <c r="A60" t="s">
        <v>20</v>
      </c>
      <c r="B60" t="s">
        <v>19</v>
      </c>
      <c r="C60">
        <v>5</v>
      </c>
      <c r="D60" t="s">
        <v>17</v>
      </c>
      <c r="E60" t="s">
        <v>1027</v>
      </c>
      <c r="F60" s="1">
        <v>1</v>
      </c>
    </row>
    <row r="61" spans="1:6" x14ac:dyDescent="0.3">
      <c r="A61" t="s">
        <v>20</v>
      </c>
      <c r="B61" t="s">
        <v>19</v>
      </c>
      <c r="C61">
        <v>5</v>
      </c>
      <c r="D61" t="s">
        <v>17</v>
      </c>
      <c r="E61" t="s">
        <v>235</v>
      </c>
      <c r="F61" s="1">
        <v>1</v>
      </c>
    </row>
    <row r="62" spans="1:6" x14ac:dyDescent="0.3">
      <c r="A62" t="s">
        <v>20</v>
      </c>
      <c r="B62" t="s">
        <v>19</v>
      </c>
      <c r="C62">
        <v>5</v>
      </c>
      <c r="D62" t="s">
        <v>102</v>
      </c>
      <c r="E62" t="s">
        <v>1029</v>
      </c>
      <c r="F62" s="1">
        <v>1</v>
      </c>
    </row>
    <row r="63" spans="1:6" x14ac:dyDescent="0.3">
      <c r="A63" t="s">
        <v>20</v>
      </c>
      <c r="B63" t="s">
        <v>19</v>
      </c>
      <c r="C63">
        <v>5</v>
      </c>
      <c r="D63" t="s">
        <v>102</v>
      </c>
      <c r="E63" t="s">
        <v>238</v>
      </c>
      <c r="F63" s="1">
        <v>1</v>
      </c>
    </row>
    <row r="64" spans="1:6" x14ac:dyDescent="0.3">
      <c r="A64" t="s">
        <v>25</v>
      </c>
      <c r="B64" t="s">
        <v>24</v>
      </c>
      <c r="C64">
        <v>1</v>
      </c>
      <c r="D64" t="s">
        <v>16</v>
      </c>
      <c r="E64" t="s">
        <v>1193</v>
      </c>
      <c r="F64" s="1">
        <v>1</v>
      </c>
    </row>
    <row r="65" spans="1:6" x14ac:dyDescent="0.3">
      <c r="A65" t="s">
        <v>25</v>
      </c>
      <c r="B65" t="s">
        <v>24</v>
      </c>
      <c r="C65">
        <v>1</v>
      </c>
      <c r="D65" t="s">
        <v>16</v>
      </c>
      <c r="E65" t="s">
        <v>1194</v>
      </c>
      <c r="F65" s="1">
        <v>1</v>
      </c>
    </row>
    <row r="66" spans="1:6" x14ac:dyDescent="0.3">
      <c r="A66" t="s">
        <v>25</v>
      </c>
      <c r="B66" t="s">
        <v>24</v>
      </c>
      <c r="C66">
        <v>1</v>
      </c>
      <c r="D66" t="s">
        <v>16</v>
      </c>
      <c r="E66" t="s">
        <v>1197</v>
      </c>
      <c r="F66" s="1">
        <v>1</v>
      </c>
    </row>
    <row r="67" spans="1:6" x14ac:dyDescent="0.3">
      <c r="A67" t="s">
        <v>25</v>
      </c>
      <c r="B67" t="s">
        <v>24</v>
      </c>
      <c r="C67">
        <v>1</v>
      </c>
      <c r="D67" t="s">
        <v>16</v>
      </c>
      <c r="E67" t="s">
        <v>355</v>
      </c>
      <c r="F67" s="1">
        <v>1</v>
      </c>
    </row>
    <row r="68" spans="1:6" x14ac:dyDescent="0.3">
      <c r="A68" t="s">
        <v>25</v>
      </c>
      <c r="B68" t="s">
        <v>24</v>
      </c>
      <c r="C68">
        <v>1</v>
      </c>
      <c r="D68" t="s">
        <v>17</v>
      </c>
      <c r="E68" t="s">
        <v>1199</v>
      </c>
      <c r="F68" s="1">
        <v>1</v>
      </c>
    </row>
    <row r="69" spans="1:6" x14ac:dyDescent="0.3">
      <c r="A69" t="s">
        <v>25</v>
      </c>
      <c r="B69" t="s">
        <v>24</v>
      </c>
      <c r="C69">
        <v>1</v>
      </c>
      <c r="D69" t="s">
        <v>17</v>
      </c>
      <c r="E69" t="s">
        <v>1201</v>
      </c>
      <c r="F69" s="1">
        <v>1</v>
      </c>
    </row>
    <row r="70" spans="1:6" x14ac:dyDescent="0.3">
      <c r="A70" t="s">
        <v>25</v>
      </c>
      <c r="B70" t="s">
        <v>24</v>
      </c>
      <c r="C70">
        <v>1</v>
      </c>
      <c r="D70" t="s">
        <v>17</v>
      </c>
      <c r="E70" t="s">
        <v>358</v>
      </c>
      <c r="F70" s="1">
        <v>1</v>
      </c>
    </row>
    <row r="71" spans="1:6" x14ac:dyDescent="0.3">
      <c r="A71" t="s">
        <v>25</v>
      </c>
      <c r="B71" t="s">
        <v>24</v>
      </c>
      <c r="C71">
        <v>1</v>
      </c>
      <c r="D71" t="s">
        <v>102</v>
      </c>
      <c r="E71" t="s">
        <v>1203</v>
      </c>
      <c r="F71" s="1">
        <v>1</v>
      </c>
    </row>
    <row r="72" spans="1:6" x14ac:dyDescent="0.3">
      <c r="A72" t="s">
        <v>25</v>
      </c>
      <c r="B72" t="s">
        <v>24</v>
      </c>
      <c r="C72">
        <v>1</v>
      </c>
      <c r="D72" t="s">
        <v>102</v>
      </c>
      <c r="E72" t="s">
        <v>1204</v>
      </c>
      <c r="F72" s="1">
        <v>1</v>
      </c>
    </row>
    <row r="73" spans="1:6" x14ac:dyDescent="0.3">
      <c r="A73" t="s">
        <v>25</v>
      </c>
      <c r="B73" t="s">
        <v>24</v>
      </c>
      <c r="C73">
        <v>1</v>
      </c>
      <c r="D73" t="s">
        <v>102</v>
      </c>
      <c r="E73" t="s">
        <v>361</v>
      </c>
      <c r="F73" s="1">
        <v>1</v>
      </c>
    </row>
    <row r="74" spans="1:6" x14ac:dyDescent="0.3">
      <c r="A74" t="s">
        <v>25</v>
      </c>
      <c r="B74" t="s">
        <v>24</v>
      </c>
      <c r="C74">
        <v>2</v>
      </c>
      <c r="D74" t="s">
        <v>16</v>
      </c>
      <c r="E74" t="s">
        <v>1206</v>
      </c>
      <c r="F74" s="1">
        <v>1</v>
      </c>
    </row>
    <row r="75" spans="1:6" x14ac:dyDescent="0.3">
      <c r="A75" t="s">
        <v>25</v>
      </c>
      <c r="B75" t="s">
        <v>24</v>
      </c>
      <c r="C75">
        <v>2</v>
      </c>
      <c r="D75" t="s">
        <v>16</v>
      </c>
      <c r="E75" t="s">
        <v>1207</v>
      </c>
      <c r="F75" s="1">
        <v>1</v>
      </c>
    </row>
    <row r="76" spans="1:6" x14ac:dyDescent="0.3">
      <c r="A76" t="s">
        <v>25</v>
      </c>
      <c r="B76" t="s">
        <v>24</v>
      </c>
      <c r="C76">
        <v>2</v>
      </c>
      <c r="D76" t="s">
        <v>16</v>
      </c>
      <c r="E76" t="s">
        <v>1210</v>
      </c>
      <c r="F76" s="1">
        <v>1</v>
      </c>
    </row>
    <row r="77" spans="1:6" x14ac:dyDescent="0.3">
      <c r="A77" t="s">
        <v>25</v>
      </c>
      <c r="B77" t="s">
        <v>24</v>
      </c>
      <c r="C77">
        <v>2</v>
      </c>
      <c r="D77" t="s">
        <v>16</v>
      </c>
      <c r="E77" t="s">
        <v>364</v>
      </c>
      <c r="F77" s="1">
        <v>1</v>
      </c>
    </row>
    <row r="78" spans="1:6" x14ac:dyDescent="0.3">
      <c r="A78" t="s">
        <v>25</v>
      </c>
      <c r="B78" t="s">
        <v>24</v>
      </c>
      <c r="C78">
        <v>2</v>
      </c>
      <c r="D78" t="s">
        <v>17</v>
      </c>
      <c r="E78" t="s">
        <v>1212</v>
      </c>
      <c r="F78" s="1">
        <v>1</v>
      </c>
    </row>
    <row r="79" spans="1:6" x14ac:dyDescent="0.3">
      <c r="A79" t="s">
        <v>25</v>
      </c>
      <c r="B79" t="s">
        <v>24</v>
      </c>
      <c r="C79">
        <v>2</v>
      </c>
      <c r="D79" t="s">
        <v>17</v>
      </c>
      <c r="E79" t="s">
        <v>1214</v>
      </c>
      <c r="F79" s="1">
        <v>1</v>
      </c>
    </row>
    <row r="80" spans="1:6" x14ac:dyDescent="0.3">
      <c r="A80" t="s">
        <v>25</v>
      </c>
      <c r="B80" t="s">
        <v>24</v>
      </c>
      <c r="C80">
        <v>2</v>
      </c>
      <c r="D80" t="s">
        <v>17</v>
      </c>
      <c r="E80" t="s">
        <v>367</v>
      </c>
      <c r="F80" s="1">
        <v>1</v>
      </c>
    </row>
    <row r="81" spans="1:6" x14ac:dyDescent="0.3">
      <c r="A81" t="s">
        <v>25</v>
      </c>
      <c r="B81" t="s">
        <v>24</v>
      </c>
      <c r="C81">
        <v>2</v>
      </c>
      <c r="D81" t="s">
        <v>102</v>
      </c>
      <c r="E81" t="s">
        <v>1216</v>
      </c>
      <c r="F81" s="1">
        <v>1</v>
      </c>
    </row>
    <row r="82" spans="1:6" x14ac:dyDescent="0.3">
      <c r="A82" t="s">
        <v>25</v>
      </c>
      <c r="B82" t="s">
        <v>24</v>
      </c>
      <c r="C82">
        <v>2</v>
      </c>
      <c r="D82" t="s">
        <v>102</v>
      </c>
      <c r="E82" t="s">
        <v>1217</v>
      </c>
      <c r="F82" s="1">
        <v>1</v>
      </c>
    </row>
    <row r="83" spans="1:6" x14ac:dyDescent="0.3">
      <c r="A83" t="s">
        <v>25</v>
      </c>
      <c r="B83" t="s">
        <v>24</v>
      </c>
      <c r="C83">
        <v>2</v>
      </c>
      <c r="D83" t="s">
        <v>102</v>
      </c>
      <c r="E83" t="s">
        <v>370</v>
      </c>
      <c r="F83" s="1">
        <v>1</v>
      </c>
    </row>
    <row r="84" spans="1:6" x14ac:dyDescent="0.3">
      <c r="A84" t="s">
        <v>25</v>
      </c>
      <c r="B84" t="s">
        <v>24</v>
      </c>
      <c r="C84">
        <v>3</v>
      </c>
      <c r="D84" t="s">
        <v>16</v>
      </c>
      <c r="E84" t="s">
        <v>1219</v>
      </c>
      <c r="F84" s="1">
        <v>1</v>
      </c>
    </row>
    <row r="85" spans="1:6" x14ac:dyDescent="0.3">
      <c r="A85" t="s">
        <v>25</v>
      </c>
      <c r="B85" t="s">
        <v>24</v>
      </c>
      <c r="C85">
        <v>3</v>
      </c>
      <c r="D85" t="s">
        <v>16</v>
      </c>
      <c r="E85" t="s">
        <v>1220</v>
      </c>
      <c r="F85" s="1">
        <v>1</v>
      </c>
    </row>
    <row r="86" spans="1:6" x14ac:dyDescent="0.3">
      <c r="A86" t="s">
        <v>25</v>
      </c>
      <c r="B86" t="s">
        <v>24</v>
      </c>
      <c r="C86">
        <v>3</v>
      </c>
      <c r="D86" t="s">
        <v>16</v>
      </c>
      <c r="E86" t="s">
        <v>1223</v>
      </c>
      <c r="F86" s="1">
        <v>1</v>
      </c>
    </row>
    <row r="87" spans="1:6" x14ac:dyDescent="0.3">
      <c r="A87" t="s">
        <v>25</v>
      </c>
      <c r="B87" t="s">
        <v>24</v>
      </c>
      <c r="C87">
        <v>3</v>
      </c>
      <c r="D87" t="s">
        <v>16</v>
      </c>
      <c r="E87" t="s">
        <v>373</v>
      </c>
      <c r="F87" s="1">
        <v>1</v>
      </c>
    </row>
    <row r="88" spans="1:6" x14ac:dyDescent="0.3">
      <c r="A88" t="s">
        <v>25</v>
      </c>
      <c r="B88" t="s">
        <v>24</v>
      </c>
      <c r="C88">
        <v>3</v>
      </c>
      <c r="D88" t="s">
        <v>17</v>
      </c>
      <c r="E88" t="s">
        <v>1225</v>
      </c>
      <c r="F88" s="1">
        <v>1</v>
      </c>
    </row>
    <row r="89" spans="1:6" x14ac:dyDescent="0.3">
      <c r="A89" t="s">
        <v>25</v>
      </c>
      <c r="B89" t="s">
        <v>24</v>
      </c>
      <c r="C89">
        <v>3</v>
      </c>
      <c r="D89" t="s">
        <v>17</v>
      </c>
      <c r="E89" t="s">
        <v>1228</v>
      </c>
      <c r="F89" s="1">
        <v>1</v>
      </c>
    </row>
    <row r="90" spans="1:6" x14ac:dyDescent="0.3">
      <c r="A90" t="s">
        <v>25</v>
      </c>
      <c r="B90" t="s">
        <v>24</v>
      </c>
      <c r="C90">
        <v>3</v>
      </c>
      <c r="D90" t="s">
        <v>17</v>
      </c>
      <c r="E90" t="s">
        <v>376</v>
      </c>
      <c r="F90" s="1">
        <v>1</v>
      </c>
    </row>
    <row r="91" spans="1:6" x14ac:dyDescent="0.3">
      <c r="A91" t="s">
        <v>25</v>
      </c>
      <c r="B91" t="s">
        <v>24</v>
      </c>
      <c r="C91">
        <v>3</v>
      </c>
      <c r="D91" t="s">
        <v>102</v>
      </c>
      <c r="E91" t="s">
        <v>1231</v>
      </c>
      <c r="F91" s="1">
        <v>1</v>
      </c>
    </row>
    <row r="92" spans="1:6" x14ac:dyDescent="0.3">
      <c r="A92" t="s">
        <v>25</v>
      </c>
      <c r="B92" t="s">
        <v>24</v>
      </c>
      <c r="C92">
        <v>3</v>
      </c>
      <c r="D92" t="s">
        <v>102</v>
      </c>
      <c r="E92" t="s">
        <v>379</v>
      </c>
      <c r="F92" s="1">
        <v>1</v>
      </c>
    </row>
    <row r="93" spans="1:6" x14ac:dyDescent="0.3">
      <c r="A93" t="s">
        <v>25</v>
      </c>
      <c r="B93" t="s">
        <v>24</v>
      </c>
      <c r="C93">
        <v>4</v>
      </c>
      <c r="D93" t="s">
        <v>16</v>
      </c>
      <c r="E93" t="s">
        <v>1234</v>
      </c>
      <c r="F93" s="1">
        <v>1</v>
      </c>
    </row>
    <row r="94" spans="1:6" x14ac:dyDescent="0.3">
      <c r="A94" t="s">
        <v>25</v>
      </c>
      <c r="B94" t="s">
        <v>24</v>
      </c>
      <c r="C94">
        <v>4</v>
      </c>
      <c r="D94" t="s">
        <v>16</v>
      </c>
      <c r="E94" t="s">
        <v>1237</v>
      </c>
      <c r="F94" s="1">
        <v>1</v>
      </c>
    </row>
    <row r="95" spans="1:6" x14ac:dyDescent="0.3">
      <c r="A95" t="s">
        <v>25</v>
      </c>
      <c r="B95" t="s">
        <v>24</v>
      </c>
      <c r="C95">
        <v>4</v>
      </c>
      <c r="D95" t="s">
        <v>16</v>
      </c>
      <c r="E95" t="s">
        <v>1240</v>
      </c>
      <c r="F95" s="1">
        <v>1</v>
      </c>
    </row>
    <row r="96" spans="1:6" x14ac:dyDescent="0.3">
      <c r="A96" t="s">
        <v>25</v>
      </c>
      <c r="B96" t="s">
        <v>24</v>
      </c>
      <c r="C96">
        <v>4</v>
      </c>
      <c r="D96" t="s">
        <v>16</v>
      </c>
      <c r="E96" t="s">
        <v>382</v>
      </c>
      <c r="F96" s="1">
        <v>1</v>
      </c>
    </row>
    <row r="97" spans="1:6" x14ac:dyDescent="0.3">
      <c r="A97" t="s">
        <v>25</v>
      </c>
      <c r="B97" t="s">
        <v>24</v>
      </c>
      <c r="C97">
        <v>4</v>
      </c>
      <c r="D97" t="s">
        <v>17</v>
      </c>
      <c r="E97" t="s">
        <v>1243</v>
      </c>
      <c r="F97" s="1">
        <v>1</v>
      </c>
    </row>
    <row r="98" spans="1:6" x14ac:dyDescent="0.3">
      <c r="A98" t="s">
        <v>25</v>
      </c>
      <c r="B98" t="s">
        <v>24</v>
      </c>
      <c r="C98">
        <v>4</v>
      </c>
      <c r="D98" t="s">
        <v>17</v>
      </c>
      <c r="E98" t="s">
        <v>1246</v>
      </c>
      <c r="F98" s="1">
        <v>1</v>
      </c>
    </row>
    <row r="99" spans="1:6" x14ac:dyDescent="0.3">
      <c r="A99" t="s">
        <v>25</v>
      </c>
      <c r="B99" t="s">
        <v>24</v>
      </c>
      <c r="C99">
        <v>4</v>
      </c>
      <c r="D99" t="s">
        <v>17</v>
      </c>
      <c r="E99" t="s">
        <v>385</v>
      </c>
      <c r="F99" s="1">
        <v>1</v>
      </c>
    </row>
    <row r="100" spans="1:6" x14ac:dyDescent="0.3">
      <c r="A100" t="s">
        <v>25</v>
      </c>
      <c r="B100" t="s">
        <v>24</v>
      </c>
      <c r="C100">
        <v>4</v>
      </c>
      <c r="D100" t="s">
        <v>102</v>
      </c>
      <c r="E100" t="s">
        <v>1249</v>
      </c>
      <c r="F100" s="1">
        <v>1</v>
      </c>
    </row>
    <row r="101" spans="1:6" x14ac:dyDescent="0.3">
      <c r="A101" t="s">
        <v>25</v>
      </c>
      <c r="B101" t="s">
        <v>24</v>
      </c>
      <c r="C101">
        <v>4</v>
      </c>
      <c r="D101" t="s">
        <v>102</v>
      </c>
      <c r="E101" t="s">
        <v>1251</v>
      </c>
      <c r="F101" s="1">
        <v>1</v>
      </c>
    </row>
    <row r="102" spans="1:6" x14ac:dyDescent="0.3">
      <c r="A102" t="s">
        <v>25</v>
      </c>
      <c r="B102" t="s">
        <v>24</v>
      </c>
      <c r="C102">
        <v>4</v>
      </c>
      <c r="D102" t="s">
        <v>102</v>
      </c>
      <c r="E102" t="s">
        <v>388</v>
      </c>
      <c r="F102" s="1">
        <v>1</v>
      </c>
    </row>
    <row r="103" spans="1:6" x14ac:dyDescent="0.3">
      <c r="A103" t="s">
        <v>25</v>
      </c>
      <c r="B103" t="s">
        <v>24</v>
      </c>
      <c r="C103">
        <v>5</v>
      </c>
      <c r="D103" t="s">
        <v>16</v>
      </c>
      <c r="E103" t="s">
        <v>1254</v>
      </c>
      <c r="F103" s="1">
        <v>1</v>
      </c>
    </row>
    <row r="104" spans="1:6" x14ac:dyDescent="0.3">
      <c r="A104" t="s">
        <v>25</v>
      </c>
      <c r="B104" t="s">
        <v>24</v>
      </c>
      <c r="C104">
        <v>5</v>
      </c>
      <c r="D104" t="s">
        <v>16</v>
      </c>
      <c r="E104" t="s">
        <v>1255</v>
      </c>
      <c r="F104" s="1">
        <v>1</v>
      </c>
    </row>
    <row r="105" spans="1:6" x14ac:dyDescent="0.3">
      <c r="A105" t="s">
        <v>25</v>
      </c>
      <c r="B105" t="s">
        <v>24</v>
      </c>
      <c r="C105">
        <v>5</v>
      </c>
      <c r="D105" t="s">
        <v>16</v>
      </c>
      <c r="E105" t="s">
        <v>1257</v>
      </c>
      <c r="F105" s="1">
        <v>1</v>
      </c>
    </row>
    <row r="106" spans="1:6" x14ac:dyDescent="0.3">
      <c r="A106" t="s">
        <v>25</v>
      </c>
      <c r="B106" t="s">
        <v>24</v>
      </c>
      <c r="C106">
        <v>5</v>
      </c>
      <c r="D106" t="s">
        <v>16</v>
      </c>
      <c r="E106" t="s">
        <v>390</v>
      </c>
      <c r="F106" s="1">
        <v>1</v>
      </c>
    </row>
    <row r="107" spans="1:6" x14ac:dyDescent="0.3">
      <c r="A107" t="s">
        <v>25</v>
      </c>
      <c r="B107" t="s">
        <v>24</v>
      </c>
      <c r="C107">
        <v>5</v>
      </c>
      <c r="D107" t="s">
        <v>17</v>
      </c>
      <c r="E107" t="s">
        <v>1260</v>
      </c>
      <c r="F107" s="1">
        <v>1</v>
      </c>
    </row>
    <row r="108" spans="1:6" x14ac:dyDescent="0.3">
      <c r="A108" t="s">
        <v>25</v>
      </c>
      <c r="B108" t="s">
        <v>24</v>
      </c>
      <c r="C108">
        <v>5</v>
      </c>
      <c r="D108" t="s">
        <v>17</v>
      </c>
      <c r="E108" t="s">
        <v>1262</v>
      </c>
      <c r="F108" s="1">
        <v>1</v>
      </c>
    </row>
    <row r="109" spans="1:6" x14ac:dyDescent="0.3">
      <c r="A109" t="s">
        <v>25</v>
      </c>
      <c r="B109" t="s">
        <v>24</v>
      </c>
      <c r="C109">
        <v>5</v>
      </c>
      <c r="D109" t="s">
        <v>17</v>
      </c>
      <c r="E109" t="s">
        <v>393</v>
      </c>
      <c r="F109" s="1">
        <v>1</v>
      </c>
    </row>
    <row r="110" spans="1:6" x14ac:dyDescent="0.3">
      <c r="A110" t="s">
        <v>25</v>
      </c>
      <c r="B110" t="s">
        <v>24</v>
      </c>
      <c r="C110">
        <v>5</v>
      </c>
      <c r="D110" t="s">
        <v>102</v>
      </c>
      <c r="E110" t="s">
        <v>1265</v>
      </c>
      <c r="F110" s="1">
        <v>1</v>
      </c>
    </row>
    <row r="111" spans="1:6" x14ac:dyDescent="0.3">
      <c r="A111" t="s">
        <v>25</v>
      </c>
      <c r="B111" t="s">
        <v>24</v>
      </c>
      <c r="C111">
        <v>5</v>
      </c>
      <c r="D111" t="s">
        <v>102</v>
      </c>
      <c r="E111" t="s">
        <v>396</v>
      </c>
      <c r="F111" s="1">
        <v>1</v>
      </c>
    </row>
    <row r="112" spans="1:6" x14ac:dyDescent="0.3">
      <c r="A112" t="s">
        <v>28</v>
      </c>
      <c r="B112" t="s">
        <v>29</v>
      </c>
      <c r="C112">
        <v>1</v>
      </c>
      <c r="D112" t="s">
        <v>16</v>
      </c>
      <c r="E112" t="s">
        <v>1370</v>
      </c>
      <c r="F112" s="1">
        <v>1</v>
      </c>
    </row>
    <row r="113" spans="1:6" x14ac:dyDescent="0.3">
      <c r="A113" t="s">
        <v>28</v>
      </c>
      <c r="B113" t="s">
        <v>29</v>
      </c>
      <c r="C113">
        <v>1</v>
      </c>
      <c r="D113" t="s">
        <v>16</v>
      </c>
      <c r="E113" t="s">
        <v>1371</v>
      </c>
      <c r="F113" s="1">
        <v>1</v>
      </c>
    </row>
    <row r="114" spans="1:6" x14ac:dyDescent="0.3">
      <c r="A114" t="s">
        <v>28</v>
      </c>
      <c r="B114" t="s">
        <v>29</v>
      </c>
      <c r="C114">
        <v>1</v>
      </c>
      <c r="D114" t="s">
        <v>16</v>
      </c>
      <c r="E114" t="s">
        <v>1373</v>
      </c>
      <c r="F114" s="1">
        <v>1</v>
      </c>
    </row>
    <row r="115" spans="1:6" x14ac:dyDescent="0.3">
      <c r="A115" t="s">
        <v>28</v>
      </c>
      <c r="B115" t="s">
        <v>29</v>
      </c>
      <c r="C115">
        <v>1</v>
      </c>
      <c r="D115" t="s">
        <v>16</v>
      </c>
      <c r="E115" t="s">
        <v>456</v>
      </c>
      <c r="F115" s="1">
        <v>1</v>
      </c>
    </row>
    <row r="116" spans="1:6" x14ac:dyDescent="0.3">
      <c r="A116" t="s">
        <v>28</v>
      </c>
      <c r="B116" t="s">
        <v>29</v>
      </c>
      <c r="C116">
        <v>1</v>
      </c>
      <c r="D116" t="s">
        <v>17</v>
      </c>
      <c r="E116" t="s">
        <v>1376</v>
      </c>
      <c r="F116" s="1">
        <v>1</v>
      </c>
    </row>
    <row r="117" spans="1:6" x14ac:dyDescent="0.3">
      <c r="A117" t="s">
        <v>28</v>
      </c>
      <c r="B117" t="s">
        <v>29</v>
      </c>
      <c r="C117">
        <v>1</v>
      </c>
      <c r="D117" t="s">
        <v>17</v>
      </c>
      <c r="E117" t="s">
        <v>1378</v>
      </c>
      <c r="F117" s="1">
        <v>1</v>
      </c>
    </row>
    <row r="118" spans="1:6" x14ac:dyDescent="0.3">
      <c r="A118" t="s">
        <v>28</v>
      </c>
      <c r="B118" t="s">
        <v>29</v>
      </c>
      <c r="C118">
        <v>1</v>
      </c>
      <c r="D118" t="s">
        <v>17</v>
      </c>
      <c r="E118" t="s">
        <v>459</v>
      </c>
      <c r="F118" s="1">
        <v>1</v>
      </c>
    </row>
    <row r="119" spans="1:6" x14ac:dyDescent="0.3">
      <c r="A119" t="s">
        <v>28</v>
      </c>
      <c r="B119" t="s">
        <v>29</v>
      </c>
      <c r="C119">
        <v>1</v>
      </c>
      <c r="D119" t="s">
        <v>102</v>
      </c>
      <c r="E119" t="s">
        <v>1381</v>
      </c>
      <c r="F119" s="1">
        <v>1</v>
      </c>
    </row>
    <row r="120" spans="1:6" x14ac:dyDescent="0.3">
      <c r="A120" t="s">
        <v>28</v>
      </c>
      <c r="B120" t="s">
        <v>29</v>
      </c>
      <c r="C120">
        <v>1</v>
      </c>
      <c r="D120" t="s">
        <v>102</v>
      </c>
      <c r="E120" t="s">
        <v>1383</v>
      </c>
      <c r="F120" s="1">
        <v>1</v>
      </c>
    </row>
    <row r="121" spans="1:6" x14ac:dyDescent="0.3">
      <c r="A121" t="s">
        <v>28</v>
      </c>
      <c r="B121" t="s">
        <v>29</v>
      </c>
      <c r="C121">
        <v>1</v>
      </c>
      <c r="D121" t="s">
        <v>102</v>
      </c>
      <c r="E121" t="s">
        <v>462</v>
      </c>
      <c r="F121" s="1">
        <v>1</v>
      </c>
    </row>
    <row r="122" spans="1:6" x14ac:dyDescent="0.3">
      <c r="A122" t="s">
        <v>28</v>
      </c>
      <c r="B122" t="s">
        <v>29</v>
      </c>
      <c r="C122">
        <v>2</v>
      </c>
      <c r="D122" t="s">
        <v>16</v>
      </c>
      <c r="E122" t="s">
        <v>1386</v>
      </c>
      <c r="F122" s="1">
        <v>1</v>
      </c>
    </row>
    <row r="123" spans="1:6" x14ac:dyDescent="0.3">
      <c r="A123" t="s">
        <v>28</v>
      </c>
      <c r="B123" t="s">
        <v>29</v>
      </c>
      <c r="C123">
        <v>2</v>
      </c>
      <c r="D123" t="s">
        <v>16</v>
      </c>
      <c r="E123" t="s">
        <v>1387</v>
      </c>
      <c r="F123" s="1">
        <v>1</v>
      </c>
    </row>
    <row r="124" spans="1:6" x14ac:dyDescent="0.3">
      <c r="A124" t="s">
        <v>28</v>
      </c>
      <c r="B124" t="s">
        <v>29</v>
      </c>
      <c r="C124">
        <v>2</v>
      </c>
      <c r="D124" t="s">
        <v>16</v>
      </c>
      <c r="E124" t="s">
        <v>1389</v>
      </c>
      <c r="F124" s="1">
        <v>1</v>
      </c>
    </row>
    <row r="125" spans="1:6" x14ac:dyDescent="0.3">
      <c r="A125" t="s">
        <v>28</v>
      </c>
      <c r="B125" t="s">
        <v>29</v>
      </c>
      <c r="C125">
        <v>2</v>
      </c>
      <c r="D125" t="s">
        <v>16</v>
      </c>
      <c r="E125" t="s">
        <v>464</v>
      </c>
      <c r="F125" s="1">
        <v>1</v>
      </c>
    </row>
    <row r="126" spans="1:6" x14ac:dyDescent="0.3">
      <c r="A126" t="s">
        <v>28</v>
      </c>
      <c r="B126" t="s">
        <v>29</v>
      </c>
      <c r="C126">
        <v>2</v>
      </c>
      <c r="D126" t="s">
        <v>17</v>
      </c>
      <c r="E126" t="s">
        <v>1392</v>
      </c>
      <c r="F126" s="1">
        <v>1</v>
      </c>
    </row>
    <row r="127" spans="1:6" x14ac:dyDescent="0.3">
      <c r="A127" t="s">
        <v>28</v>
      </c>
      <c r="B127" t="s">
        <v>29</v>
      </c>
      <c r="C127">
        <v>2</v>
      </c>
      <c r="D127" t="s">
        <v>17</v>
      </c>
      <c r="E127" t="s">
        <v>1394</v>
      </c>
      <c r="F127" s="1">
        <v>1</v>
      </c>
    </row>
    <row r="128" spans="1:6" x14ac:dyDescent="0.3">
      <c r="A128" t="s">
        <v>28</v>
      </c>
      <c r="B128" t="s">
        <v>29</v>
      </c>
      <c r="C128">
        <v>2</v>
      </c>
      <c r="D128" t="s">
        <v>17</v>
      </c>
      <c r="E128" t="s">
        <v>467</v>
      </c>
      <c r="F128" s="1">
        <v>1</v>
      </c>
    </row>
    <row r="129" spans="1:6" x14ac:dyDescent="0.3">
      <c r="A129" t="s">
        <v>28</v>
      </c>
      <c r="B129" t="s">
        <v>29</v>
      </c>
      <c r="C129">
        <v>2</v>
      </c>
      <c r="D129" t="s">
        <v>102</v>
      </c>
      <c r="E129" t="s">
        <v>1397</v>
      </c>
      <c r="F129" s="1">
        <v>1</v>
      </c>
    </row>
    <row r="130" spans="1:6" x14ac:dyDescent="0.3">
      <c r="A130" t="s">
        <v>28</v>
      </c>
      <c r="B130" t="s">
        <v>29</v>
      </c>
      <c r="C130">
        <v>2</v>
      </c>
      <c r="D130" t="s">
        <v>102</v>
      </c>
      <c r="E130" t="s">
        <v>470</v>
      </c>
      <c r="F130" s="1">
        <v>1</v>
      </c>
    </row>
    <row r="131" spans="1:6" x14ac:dyDescent="0.3">
      <c r="A131" t="s">
        <v>28</v>
      </c>
      <c r="B131" t="s">
        <v>29</v>
      </c>
      <c r="C131">
        <v>3</v>
      </c>
      <c r="D131" t="s">
        <v>16</v>
      </c>
      <c r="E131" t="s">
        <v>1399</v>
      </c>
      <c r="F131" s="1">
        <v>1</v>
      </c>
    </row>
    <row r="132" spans="1:6" x14ac:dyDescent="0.3">
      <c r="A132" t="s">
        <v>28</v>
      </c>
      <c r="B132" t="s">
        <v>29</v>
      </c>
      <c r="C132">
        <v>3</v>
      </c>
      <c r="D132" t="s">
        <v>16</v>
      </c>
      <c r="E132" t="s">
        <v>1400</v>
      </c>
      <c r="F132" s="1">
        <v>1</v>
      </c>
    </row>
    <row r="133" spans="1:6" x14ac:dyDescent="0.3">
      <c r="A133" t="s">
        <v>28</v>
      </c>
      <c r="B133" t="s">
        <v>29</v>
      </c>
      <c r="C133">
        <v>3</v>
      </c>
      <c r="D133" t="s">
        <v>16</v>
      </c>
      <c r="E133" t="s">
        <v>1402</v>
      </c>
      <c r="F133" s="1">
        <v>1</v>
      </c>
    </row>
    <row r="134" spans="1:6" x14ac:dyDescent="0.3">
      <c r="A134" t="s">
        <v>28</v>
      </c>
      <c r="B134" t="s">
        <v>29</v>
      </c>
      <c r="C134">
        <v>3</v>
      </c>
      <c r="D134" t="s">
        <v>16</v>
      </c>
      <c r="E134" t="s">
        <v>473</v>
      </c>
      <c r="F134" s="1">
        <v>1</v>
      </c>
    </row>
    <row r="135" spans="1:6" x14ac:dyDescent="0.3">
      <c r="A135" t="s">
        <v>28</v>
      </c>
      <c r="B135" t="s">
        <v>29</v>
      </c>
      <c r="C135">
        <v>3</v>
      </c>
      <c r="D135" t="s">
        <v>17</v>
      </c>
      <c r="E135" t="s">
        <v>1405</v>
      </c>
      <c r="F135" s="1">
        <v>1</v>
      </c>
    </row>
    <row r="136" spans="1:6" x14ac:dyDescent="0.3">
      <c r="A136" t="s">
        <v>28</v>
      </c>
      <c r="B136" t="s">
        <v>29</v>
      </c>
      <c r="C136">
        <v>3</v>
      </c>
      <c r="D136" t="s">
        <v>17</v>
      </c>
      <c r="E136" t="s">
        <v>1407</v>
      </c>
      <c r="F136" s="1">
        <v>1</v>
      </c>
    </row>
    <row r="137" spans="1:6" x14ac:dyDescent="0.3">
      <c r="A137" t="s">
        <v>28</v>
      </c>
      <c r="B137" t="s">
        <v>29</v>
      </c>
      <c r="C137">
        <v>3</v>
      </c>
      <c r="D137" t="s">
        <v>17</v>
      </c>
      <c r="E137" t="s">
        <v>476</v>
      </c>
      <c r="F137" s="1">
        <v>1</v>
      </c>
    </row>
    <row r="138" spans="1:6" x14ac:dyDescent="0.3">
      <c r="A138" t="s">
        <v>28</v>
      </c>
      <c r="B138" t="s">
        <v>29</v>
      </c>
      <c r="C138">
        <v>3</v>
      </c>
      <c r="D138" t="s">
        <v>102</v>
      </c>
      <c r="E138" t="s">
        <v>1410</v>
      </c>
      <c r="F138" s="1">
        <v>1</v>
      </c>
    </row>
    <row r="139" spans="1:6" x14ac:dyDescent="0.3">
      <c r="A139" t="s">
        <v>28</v>
      </c>
      <c r="B139" t="s">
        <v>29</v>
      </c>
      <c r="C139">
        <v>3</v>
      </c>
      <c r="D139" t="s">
        <v>102</v>
      </c>
      <c r="E139" t="s">
        <v>479</v>
      </c>
      <c r="F139" s="1">
        <v>1</v>
      </c>
    </row>
    <row r="140" spans="1:6" x14ac:dyDescent="0.3">
      <c r="A140" t="s">
        <v>28</v>
      </c>
      <c r="B140" t="s">
        <v>29</v>
      </c>
      <c r="C140">
        <v>4</v>
      </c>
      <c r="D140" t="s">
        <v>16</v>
      </c>
      <c r="E140" t="s">
        <v>1412</v>
      </c>
      <c r="F140" s="1">
        <v>1</v>
      </c>
    </row>
    <row r="141" spans="1:6" x14ac:dyDescent="0.3">
      <c r="A141" t="s">
        <v>28</v>
      </c>
      <c r="B141" t="s">
        <v>29</v>
      </c>
      <c r="C141">
        <v>4</v>
      </c>
      <c r="D141" t="s">
        <v>16</v>
      </c>
      <c r="E141" t="s">
        <v>1413</v>
      </c>
      <c r="F141" s="1">
        <v>1</v>
      </c>
    </row>
    <row r="142" spans="1:6" x14ac:dyDescent="0.3">
      <c r="A142" t="s">
        <v>28</v>
      </c>
      <c r="B142" t="s">
        <v>29</v>
      </c>
      <c r="C142">
        <v>4</v>
      </c>
      <c r="D142" t="s">
        <v>16</v>
      </c>
      <c r="E142" t="s">
        <v>1415</v>
      </c>
      <c r="F142" s="1">
        <v>1</v>
      </c>
    </row>
    <row r="143" spans="1:6" x14ac:dyDescent="0.3">
      <c r="A143" t="s">
        <v>28</v>
      </c>
      <c r="B143" t="s">
        <v>29</v>
      </c>
      <c r="C143">
        <v>4</v>
      </c>
      <c r="D143" t="s">
        <v>16</v>
      </c>
      <c r="E143" t="s">
        <v>481</v>
      </c>
      <c r="F143" s="1">
        <v>1</v>
      </c>
    </row>
    <row r="144" spans="1:6" x14ac:dyDescent="0.3">
      <c r="A144" t="s">
        <v>28</v>
      </c>
      <c r="B144" t="s">
        <v>29</v>
      </c>
      <c r="C144">
        <v>4</v>
      </c>
      <c r="D144" t="s">
        <v>17</v>
      </c>
      <c r="E144" t="s">
        <v>1418</v>
      </c>
      <c r="F144" s="1">
        <v>1</v>
      </c>
    </row>
    <row r="145" spans="1:6" x14ac:dyDescent="0.3">
      <c r="A145" t="s">
        <v>28</v>
      </c>
      <c r="B145" t="s">
        <v>29</v>
      </c>
      <c r="C145">
        <v>4</v>
      </c>
      <c r="D145" t="s">
        <v>17</v>
      </c>
      <c r="E145" t="s">
        <v>1420</v>
      </c>
      <c r="F145" s="1">
        <v>1</v>
      </c>
    </row>
    <row r="146" spans="1:6" x14ac:dyDescent="0.3">
      <c r="A146" t="s">
        <v>28</v>
      </c>
      <c r="B146" t="s">
        <v>29</v>
      </c>
      <c r="C146">
        <v>4</v>
      </c>
      <c r="D146" t="s">
        <v>17</v>
      </c>
      <c r="E146" t="s">
        <v>484</v>
      </c>
      <c r="F146" s="1">
        <v>1</v>
      </c>
    </row>
    <row r="147" spans="1:6" x14ac:dyDescent="0.3">
      <c r="A147" t="s">
        <v>28</v>
      </c>
      <c r="B147" t="s">
        <v>29</v>
      </c>
      <c r="C147">
        <v>4</v>
      </c>
      <c r="D147" t="s">
        <v>102</v>
      </c>
      <c r="E147" t="s">
        <v>487</v>
      </c>
      <c r="F147" s="1">
        <v>1</v>
      </c>
    </row>
    <row r="148" spans="1:6" x14ac:dyDescent="0.3">
      <c r="A148" t="s">
        <v>28</v>
      </c>
      <c r="B148" t="s">
        <v>29</v>
      </c>
      <c r="C148">
        <v>5</v>
      </c>
      <c r="D148" t="s">
        <v>16</v>
      </c>
      <c r="E148" t="s">
        <v>1422</v>
      </c>
      <c r="F148" s="1">
        <v>1</v>
      </c>
    </row>
    <row r="149" spans="1:6" x14ac:dyDescent="0.3">
      <c r="A149" t="s">
        <v>28</v>
      </c>
      <c r="B149" t="s">
        <v>29</v>
      </c>
      <c r="C149">
        <v>5</v>
      </c>
      <c r="D149" t="s">
        <v>16</v>
      </c>
      <c r="E149" t="s">
        <v>1423</v>
      </c>
      <c r="F149" s="1">
        <v>1</v>
      </c>
    </row>
    <row r="150" spans="1:6" x14ac:dyDescent="0.3">
      <c r="A150" t="s">
        <v>28</v>
      </c>
      <c r="B150" t="s">
        <v>29</v>
      </c>
      <c r="C150">
        <v>5</v>
      </c>
      <c r="D150" t="s">
        <v>16</v>
      </c>
      <c r="E150" t="s">
        <v>1425</v>
      </c>
      <c r="F150" s="1">
        <v>1</v>
      </c>
    </row>
    <row r="151" spans="1:6" x14ac:dyDescent="0.3">
      <c r="A151" t="s">
        <v>28</v>
      </c>
      <c r="B151" t="s">
        <v>29</v>
      </c>
      <c r="C151">
        <v>5</v>
      </c>
      <c r="D151" t="s">
        <v>16</v>
      </c>
      <c r="E151" t="s">
        <v>490</v>
      </c>
      <c r="F151" s="1">
        <v>1</v>
      </c>
    </row>
    <row r="152" spans="1:6" x14ac:dyDescent="0.3">
      <c r="A152" t="s">
        <v>28</v>
      </c>
      <c r="B152" t="s">
        <v>29</v>
      </c>
      <c r="C152">
        <v>5</v>
      </c>
      <c r="D152" t="s">
        <v>17</v>
      </c>
      <c r="E152" t="s">
        <v>1427</v>
      </c>
      <c r="F152" s="1">
        <v>1</v>
      </c>
    </row>
    <row r="153" spans="1:6" x14ac:dyDescent="0.3">
      <c r="A153" t="s">
        <v>28</v>
      </c>
      <c r="B153" t="s">
        <v>29</v>
      </c>
      <c r="C153">
        <v>5</v>
      </c>
      <c r="D153" t="s">
        <v>17</v>
      </c>
      <c r="E153" t="s">
        <v>1430</v>
      </c>
      <c r="F153" s="1">
        <v>1</v>
      </c>
    </row>
    <row r="154" spans="1:6" x14ac:dyDescent="0.3">
      <c r="A154" t="s">
        <v>28</v>
      </c>
      <c r="B154" t="s">
        <v>29</v>
      </c>
      <c r="C154">
        <v>5</v>
      </c>
      <c r="D154" t="s">
        <v>17</v>
      </c>
      <c r="E154" t="s">
        <v>493</v>
      </c>
      <c r="F154" s="1">
        <v>1</v>
      </c>
    </row>
    <row r="155" spans="1:6" x14ac:dyDescent="0.3">
      <c r="A155" t="s">
        <v>28</v>
      </c>
      <c r="B155" t="s">
        <v>29</v>
      </c>
      <c r="C155">
        <v>5</v>
      </c>
      <c r="D155" t="s">
        <v>102</v>
      </c>
      <c r="E155" t="s">
        <v>1432</v>
      </c>
      <c r="F155" s="1">
        <v>1</v>
      </c>
    </row>
    <row r="156" spans="1:6" x14ac:dyDescent="0.3">
      <c r="A156" t="s">
        <v>28</v>
      </c>
      <c r="B156" t="s">
        <v>29</v>
      </c>
      <c r="C156">
        <v>5</v>
      </c>
      <c r="D156" t="s">
        <v>102</v>
      </c>
      <c r="E156" t="s">
        <v>496</v>
      </c>
      <c r="F156" s="1">
        <v>1</v>
      </c>
    </row>
    <row r="157" spans="1:6" x14ac:dyDescent="0.3">
      <c r="A157" t="s">
        <v>30</v>
      </c>
      <c r="B157" t="s">
        <v>31</v>
      </c>
      <c r="C157">
        <v>1</v>
      </c>
      <c r="D157" t="s">
        <v>16</v>
      </c>
      <c r="E157" t="s">
        <v>1434</v>
      </c>
      <c r="F157" s="1">
        <v>1</v>
      </c>
    </row>
    <row r="158" spans="1:6" x14ac:dyDescent="0.3">
      <c r="A158" t="s">
        <v>30</v>
      </c>
      <c r="B158" t="s">
        <v>31</v>
      </c>
      <c r="C158">
        <v>1</v>
      </c>
      <c r="D158" t="s">
        <v>16</v>
      </c>
      <c r="E158" t="s">
        <v>1435</v>
      </c>
      <c r="F158" s="1">
        <v>1</v>
      </c>
    </row>
    <row r="159" spans="1:6" x14ac:dyDescent="0.3">
      <c r="A159" t="s">
        <v>30</v>
      </c>
      <c r="B159" t="s">
        <v>31</v>
      </c>
      <c r="C159">
        <v>1</v>
      </c>
      <c r="D159" t="s">
        <v>16</v>
      </c>
      <c r="E159" t="s">
        <v>1437</v>
      </c>
      <c r="F159" s="1">
        <v>1</v>
      </c>
    </row>
    <row r="160" spans="1:6" x14ac:dyDescent="0.3">
      <c r="A160" t="s">
        <v>30</v>
      </c>
      <c r="B160" t="s">
        <v>31</v>
      </c>
      <c r="C160">
        <v>1</v>
      </c>
      <c r="D160" t="s">
        <v>16</v>
      </c>
      <c r="E160" t="s">
        <v>499</v>
      </c>
      <c r="F160" s="1">
        <v>1</v>
      </c>
    </row>
    <row r="161" spans="1:6" x14ac:dyDescent="0.3">
      <c r="A161" t="s">
        <v>30</v>
      </c>
      <c r="B161" t="s">
        <v>31</v>
      </c>
      <c r="C161">
        <v>1</v>
      </c>
      <c r="D161" t="s">
        <v>17</v>
      </c>
      <c r="E161" t="s">
        <v>1439</v>
      </c>
      <c r="F161" s="1">
        <v>1</v>
      </c>
    </row>
    <row r="162" spans="1:6" x14ac:dyDescent="0.3">
      <c r="A162" t="s">
        <v>30</v>
      </c>
      <c r="B162" t="s">
        <v>31</v>
      </c>
      <c r="C162">
        <v>1</v>
      </c>
      <c r="D162" t="s">
        <v>17</v>
      </c>
      <c r="E162" t="s">
        <v>1442</v>
      </c>
      <c r="F162" s="1">
        <v>1</v>
      </c>
    </row>
    <row r="163" spans="1:6" x14ac:dyDescent="0.3">
      <c r="A163" t="s">
        <v>30</v>
      </c>
      <c r="B163" t="s">
        <v>31</v>
      </c>
      <c r="C163">
        <v>1</v>
      </c>
      <c r="D163" t="s">
        <v>17</v>
      </c>
      <c r="E163" t="s">
        <v>502</v>
      </c>
      <c r="F163" s="1">
        <v>1</v>
      </c>
    </row>
    <row r="164" spans="1:6" x14ac:dyDescent="0.3">
      <c r="A164" t="s">
        <v>30</v>
      </c>
      <c r="B164" t="s">
        <v>31</v>
      </c>
      <c r="C164">
        <v>1</v>
      </c>
      <c r="D164" t="s">
        <v>102</v>
      </c>
      <c r="E164" t="s">
        <v>505</v>
      </c>
      <c r="F164" s="1">
        <v>1</v>
      </c>
    </row>
    <row r="165" spans="1:6" x14ac:dyDescent="0.3">
      <c r="A165" t="s">
        <v>30</v>
      </c>
      <c r="B165" t="s">
        <v>31</v>
      </c>
      <c r="C165">
        <v>2</v>
      </c>
      <c r="D165" t="s">
        <v>16</v>
      </c>
      <c r="E165" t="s">
        <v>1444</v>
      </c>
      <c r="F165" s="1">
        <v>1</v>
      </c>
    </row>
    <row r="166" spans="1:6" x14ac:dyDescent="0.3">
      <c r="A166" t="s">
        <v>30</v>
      </c>
      <c r="B166" t="s">
        <v>31</v>
      </c>
      <c r="C166">
        <v>2</v>
      </c>
      <c r="D166" t="s">
        <v>16</v>
      </c>
      <c r="E166" t="s">
        <v>1445</v>
      </c>
      <c r="F166" s="1">
        <v>1</v>
      </c>
    </row>
    <row r="167" spans="1:6" x14ac:dyDescent="0.3">
      <c r="A167" t="s">
        <v>30</v>
      </c>
      <c r="B167" t="s">
        <v>31</v>
      </c>
      <c r="C167">
        <v>2</v>
      </c>
      <c r="D167" t="s">
        <v>16</v>
      </c>
      <c r="E167" t="s">
        <v>1447</v>
      </c>
      <c r="F167" s="1">
        <v>1</v>
      </c>
    </row>
    <row r="168" spans="1:6" x14ac:dyDescent="0.3">
      <c r="A168" t="s">
        <v>30</v>
      </c>
      <c r="B168" t="s">
        <v>31</v>
      </c>
      <c r="C168">
        <v>2</v>
      </c>
      <c r="D168" t="s">
        <v>16</v>
      </c>
      <c r="E168" t="s">
        <v>508</v>
      </c>
      <c r="F168" s="1">
        <v>1</v>
      </c>
    </row>
    <row r="169" spans="1:6" x14ac:dyDescent="0.3">
      <c r="A169" t="s">
        <v>30</v>
      </c>
      <c r="B169" t="s">
        <v>31</v>
      </c>
      <c r="C169">
        <v>2</v>
      </c>
      <c r="D169" t="s">
        <v>17</v>
      </c>
      <c r="E169" t="s">
        <v>1450</v>
      </c>
      <c r="F169" s="1">
        <v>1</v>
      </c>
    </row>
    <row r="170" spans="1:6" x14ac:dyDescent="0.3">
      <c r="A170" t="s">
        <v>30</v>
      </c>
      <c r="B170" t="s">
        <v>31</v>
      </c>
      <c r="C170">
        <v>2</v>
      </c>
      <c r="D170" t="s">
        <v>17</v>
      </c>
      <c r="E170" t="s">
        <v>1453</v>
      </c>
      <c r="F170" s="1">
        <v>1</v>
      </c>
    </row>
    <row r="171" spans="1:6" x14ac:dyDescent="0.3">
      <c r="A171" t="s">
        <v>30</v>
      </c>
      <c r="B171" t="s">
        <v>31</v>
      </c>
      <c r="C171">
        <v>2</v>
      </c>
      <c r="D171" t="s">
        <v>17</v>
      </c>
      <c r="E171" t="s">
        <v>511</v>
      </c>
      <c r="F171" s="1">
        <v>1</v>
      </c>
    </row>
    <row r="172" spans="1:6" x14ac:dyDescent="0.3">
      <c r="A172" t="s">
        <v>30</v>
      </c>
      <c r="B172" t="s">
        <v>31</v>
      </c>
      <c r="C172">
        <v>2</v>
      </c>
      <c r="D172" t="s">
        <v>102</v>
      </c>
      <c r="E172" t="s">
        <v>514</v>
      </c>
      <c r="F172" s="1">
        <v>1</v>
      </c>
    </row>
    <row r="173" spans="1:6" x14ac:dyDescent="0.3">
      <c r="A173" t="s">
        <v>30</v>
      </c>
      <c r="B173" t="s">
        <v>31</v>
      </c>
      <c r="C173">
        <v>3</v>
      </c>
      <c r="D173" t="s">
        <v>16</v>
      </c>
      <c r="E173" t="s">
        <v>1455</v>
      </c>
      <c r="F173" s="1">
        <v>1</v>
      </c>
    </row>
    <row r="174" spans="1:6" x14ac:dyDescent="0.3">
      <c r="A174" t="s">
        <v>30</v>
      </c>
      <c r="B174" t="s">
        <v>31</v>
      </c>
      <c r="C174">
        <v>3</v>
      </c>
      <c r="D174" t="s">
        <v>16</v>
      </c>
      <c r="E174" t="s">
        <v>1456</v>
      </c>
      <c r="F174" s="1">
        <v>1</v>
      </c>
    </row>
    <row r="175" spans="1:6" x14ac:dyDescent="0.3">
      <c r="A175" t="s">
        <v>30</v>
      </c>
      <c r="B175" t="s">
        <v>31</v>
      </c>
      <c r="C175">
        <v>3</v>
      </c>
      <c r="D175" t="s">
        <v>16</v>
      </c>
      <c r="E175" t="s">
        <v>1458</v>
      </c>
      <c r="F175" s="1">
        <v>1</v>
      </c>
    </row>
    <row r="176" spans="1:6" x14ac:dyDescent="0.3">
      <c r="A176" t="s">
        <v>30</v>
      </c>
      <c r="B176" t="s">
        <v>31</v>
      </c>
      <c r="C176">
        <v>3</v>
      </c>
      <c r="D176" t="s">
        <v>16</v>
      </c>
      <c r="E176" t="s">
        <v>516</v>
      </c>
      <c r="F176" s="1">
        <v>1</v>
      </c>
    </row>
    <row r="177" spans="1:6" x14ac:dyDescent="0.3">
      <c r="A177" t="s">
        <v>30</v>
      </c>
      <c r="B177" t="s">
        <v>31</v>
      </c>
      <c r="C177">
        <v>3</v>
      </c>
      <c r="D177" t="s">
        <v>17</v>
      </c>
      <c r="E177" t="s">
        <v>1461</v>
      </c>
      <c r="F177" s="1">
        <v>1</v>
      </c>
    </row>
    <row r="178" spans="1:6" x14ac:dyDescent="0.3">
      <c r="A178" t="s">
        <v>30</v>
      </c>
      <c r="B178" t="s">
        <v>31</v>
      </c>
      <c r="C178">
        <v>3</v>
      </c>
      <c r="D178" t="s">
        <v>17</v>
      </c>
      <c r="E178" t="s">
        <v>1464</v>
      </c>
      <c r="F178" s="1">
        <v>1</v>
      </c>
    </row>
    <row r="179" spans="1:6" x14ac:dyDescent="0.3">
      <c r="A179" t="s">
        <v>30</v>
      </c>
      <c r="B179" t="s">
        <v>31</v>
      </c>
      <c r="C179">
        <v>3</v>
      </c>
      <c r="D179" t="s">
        <v>17</v>
      </c>
      <c r="E179" t="s">
        <v>519</v>
      </c>
      <c r="F179" s="1">
        <v>1</v>
      </c>
    </row>
    <row r="180" spans="1:6" x14ac:dyDescent="0.3">
      <c r="A180" t="s">
        <v>30</v>
      </c>
      <c r="B180" t="s">
        <v>31</v>
      </c>
      <c r="C180">
        <v>3</v>
      </c>
      <c r="D180" t="s">
        <v>102</v>
      </c>
      <c r="E180" t="s">
        <v>1466</v>
      </c>
      <c r="F180" s="1">
        <v>1</v>
      </c>
    </row>
    <row r="181" spans="1:6" x14ac:dyDescent="0.3">
      <c r="A181" t="s">
        <v>30</v>
      </c>
      <c r="B181" t="s">
        <v>31</v>
      </c>
      <c r="C181">
        <v>3</v>
      </c>
      <c r="D181" t="s">
        <v>102</v>
      </c>
      <c r="E181" t="s">
        <v>522</v>
      </c>
      <c r="F181" s="1">
        <v>1</v>
      </c>
    </row>
    <row r="182" spans="1:6" x14ac:dyDescent="0.3">
      <c r="A182" t="s">
        <v>30</v>
      </c>
      <c r="B182" t="s">
        <v>31</v>
      </c>
      <c r="C182">
        <v>4</v>
      </c>
      <c r="D182" t="s">
        <v>16</v>
      </c>
      <c r="E182" t="s">
        <v>1468</v>
      </c>
      <c r="F182" s="1">
        <v>1</v>
      </c>
    </row>
    <row r="183" spans="1:6" x14ac:dyDescent="0.3">
      <c r="A183" t="s">
        <v>30</v>
      </c>
      <c r="B183" t="s">
        <v>31</v>
      </c>
      <c r="C183">
        <v>4</v>
      </c>
      <c r="D183" t="s">
        <v>16</v>
      </c>
      <c r="E183" t="s">
        <v>1469</v>
      </c>
      <c r="F183" s="1">
        <v>1</v>
      </c>
    </row>
    <row r="184" spans="1:6" x14ac:dyDescent="0.3">
      <c r="A184" t="s">
        <v>30</v>
      </c>
      <c r="B184" t="s">
        <v>31</v>
      </c>
      <c r="C184">
        <v>4</v>
      </c>
      <c r="D184" t="s">
        <v>16</v>
      </c>
      <c r="E184" t="s">
        <v>1471</v>
      </c>
      <c r="F184" s="1">
        <v>1</v>
      </c>
    </row>
    <row r="185" spans="1:6" x14ac:dyDescent="0.3">
      <c r="A185" t="s">
        <v>30</v>
      </c>
      <c r="B185" t="s">
        <v>31</v>
      </c>
      <c r="C185">
        <v>4</v>
      </c>
      <c r="D185" t="s">
        <v>16</v>
      </c>
      <c r="E185" t="s">
        <v>525</v>
      </c>
      <c r="F185" s="1">
        <v>1</v>
      </c>
    </row>
    <row r="186" spans="1:6" x14ac:dyDescent="0.3">
      <c r="A186" t="s">
        <v>30</v>
      </c>
      <c r="B186" t="s">
        <v>31</v>
      </c>
      <c r="C186">
        <v>4</v>
      </c>
      <c r="D186" t="s">
        <v>17</v>
      </c>
      <c r="E186" t="s">
        <v>1474</v>
      </c>
      <c r="F186" s="1">
        <v>1</v>
      </c>
    </row>
    <row r="187" spans="1:6" x14ac:dyDescent="0.3">
      <c r="A187" t="s">
        <v>30</v>
      </c>
      <c r="B187" t="s">
        <v>31</v>
      </c>
      <c r="C187">
        <v>4</v>
      </c>
      <c r="D187" t="s">
        <v>17</v>
      </c>
      <c r="E187" t="s">
        <v>1477</v>
      </c>
      <c r="F187" s="1">
        <v>1</v>
      </c>
    </row>
    <row r="188" spans="1:6" x14ac:dyDescent="0.3">
      <c r="A188" t="s">
        <v>30</v>
      </c>
      <c r="B188" t="s">
        <v>31</v>
      </c>
      <c r="C188">
        <v>4</v>
      </c>
      <c r="D188" t="s">
        <v>17</v>
      </c>
      <c r="E188" t="s">
        <v>528</v>
      </c>
      <c r="F188" s="1">
        <v>1</v>
      </c>
    </row>
    <row r="189" spans="1:6" x14ac:dyDescent="0.3">
      <c r="A189" t="s">
        <v>30</v>
      </c>
      <c r="B189" t="s">
        <v>31</v>
      </c>
      <c r="C189">
        <v>4</v>
      </c>
      <c r="D189" t="s">
        <v>102</v>
      </c>
      <c r="E189" t="s">
        <v>531</v>
      </c>
      <c r="F189" s="1">
        <v>1</v>
      </c>
    </row>
    <row r="190" spans="1:6" x14ac:dyDescent="0.3">
      <c r="A190" t="s">
        <v>30</v>
      </c>
      <c r="B190" t="s">
        <v>31</v>
      </c>
      <c r="C190">
        <v>5</v>
      </c>
      <c r="D190" t="s">
        <v>16</v>
      </c>
      <c r="E190" t="s">
        <v>1480</v>
      </c>
      <c r="F190" s="1">
        <v>1</v>
      </c>
    </row>
    <row r="191" spans="1:6" x14ac:dyDescent="0.3">
      <c r="A191" t="s">
        <v>30</v>
      </c>
      <c r="B191" t="s">
        <v>31</v>
      </c>
      <c r="C191">
        <v>5</v>
      </c>
      <c r="D191" t="s">
        <v>16</v>
      </c>
      <c r="E191" t="s">
        <v>1483</v>
      </c>
      <c r="F191" s="1">
        <v>1</v>
      </c>
    </row>
    <row r="192" spans="1:6" x14ac:dyDescent="0.3">
      <c r="A192" t="s">
        <v>30</v>
      </c>
      <c r="B192" t="s">
        <v>31</v>
      </c>
      <c r="C192">
        <v>5</v>
      </c>
      <c r="D192" t="s">
        <v>16</v>
      </c>
      <c r="E192" t="s">
        <v>1485</v>
      </c>
      <c r="F192" s="1">
        <v>1</v>
      </c>
    </row>
    <row r="193" spans="1:6" x14ac:dyDescent="0.3">
      <c r="A193" t="s">
        <v>30</v>
      </c>
      <c r="B193" t="s">
        <v>31</v>
      </c>
      <c r="C193">
        <v>5</v>
      </c>
      <c r="D193" t="s">
        <v>16</v>
      </c>
      <c r="E193" t="s">
        <v>534</v>
      </c>
      <c r="F193" s="1">
        <v>1</v>
      </c>
    </row>
    <row r="194" spans="1:6" x14ac:dyDescent="0.3">
      <c r="A194" t="s">
        <v>30</v>
      </c>
      <c r="B194" t="s">
        <v>31</v>
      </c>
      <c r="C194">
        <v>5</v>
      </c>
      <c r="D194" t="s">
        <v>17</v>
      </c>
      <c r="E194" t="s">
        <v>1488</v>
      </c>
      <c r="F194" s="1">
        <v>1</v>
      </c>
    </row>
    <row r="195" spans="1:6" x14ac:dyDescent="0.3">
      <c r="A195" t="s">
        <v>30</v>
      </c>
      <c r="B195" t="s">
        <v>31</v>
      </c>
      <c r="C195">
        <v>5</v>
      </c>
      <c r="D195" t="s">
        <v>17</v>
      </c>
      <c r="E195" t="s">
        <v>1491</v>
      </c>
      <c r="F195" s="1">
        <v>1</v>
      </c>
    </row>
    <row r="196" spans="1:6" x14ac:dyDescent="0.3">
      <c r="A196" t="s">
        <v>30</v>
      </c>
      <c r="B196" t="s">
        <v>31</v>
      </c>
      <c r="C196">
        <v>5</v>
      </c>
      <c r="D196" t="s">
        <v>17</v>
      </c>
      <c r="E196" t="s">
        <v>537</v>
      </c>
      <c r="F196" s="1">
        <v>1</v>
      </c>
    </row>
    <row r="197" spans="1:6" x14ac:dyDescent="0.3">
      <c r="A197" t="s">
        <v>30</v>
      </c>
      <c r="B197" t="s">
        <v>31</v>
      </c>
      <c r="C197">
        <v>5</v>
      </c>
      <c r="D197" t="s">
        <v>102</v>
      </c>
      <c r="E197" t="s">
        <v>1494</v>
      </c>
      <c r="F197" s="1">
        <v>1</v>
      </c>
    </row>
    <row r="198" spans="1:6" x14ac:dyDescent="0.3">
      <c r="A198" t="s">
        <v>30</v>
      </c>
      <c r="B198" t="s">
        <v>31</v>
      </c>
      <c r="C198">
        <v>5</v>
      </c>
      <c r="D198" t="s">
        <v>102</v>
      </c>
      <c r="E198" t="s">
        <v>540</v>
      </c>
      <c r="F198" s="1">
        <v>1</v>
      </c>
    </row>
    <row r="199" spans="1:6" x14ac:dyDescent="0.3">
      <c r="A199" t="s">
        <v>32</v>
      </c>
      <c r="B199" t="s">
        <v>33</v>
      </c>
      <c r="C199">
        <v>1</v>
      </c>
      <c r="D199" t="s">
        <v>16</v>
      </c>
      <c r="E199" t="s">
        <v>1496</v>
      </c>
      <c r="F199" s="1">
        <v>1</v>
      </c>
    </row>
    <row r="200" spans="1:6" x14ac:dyDescent="0.3">
      <c r="A200" t="s">
        <v>32</v>
      </c>
      <c r="B200" t="s">
        <v>33</v>
      </c>
      <c r="C200">
        <v>1</v>
      </c>
      <c r="D200" t="s">
        <v>16</v>
      </c>
      <c r="E200" t="s">
        <v>1499</v>
      </c>
      <c r="F200" s="1">
        <v>1</v>
      </c>
    </row>
    <row r="201" spans="1:6" x14ac:dyDescent="0.3">
      <c r="A201" t="s">
        <v>32</v>
      </c>
      <c r="B201" t="s">
        <v>33</v>
      </c>
      <c r="C201">
        <v>1</v>
      </c>
      <c r="D201" t="s">
        <v>16</v>
      </c>
      <c r="E201" t="s">
        <v>1502</v>
      </c>
      <c r="F201" s="1">
        <v>1</v>
      </c>
    </row>
    <row r="202" spans="1:6" x14ac:dyDescent="0.3">
      <c r="A202" t="s">
        <v>32</v>
      </c>
      <c r="B202" t="s">
        <v>33</v>
      </c>
      <c r="C202">
        <v>1</v>
      </c>
      <c r="D202" t="s">
        <v>16</v>
      </c>
      <c r="E202" t="s">
        <v>543</v>
      </c>
      <c r="F202" s="1">
        <v>1</v>
      </c>
    </row>
    <row r="203" spans="1:6" x14ac:dyDescent="0.3">
      <c r="A203" t="s">
        <v>32</v>
      </c>
      <c r="B203" t="s">
        <v>33</v>
      </c>
      <c r="C203">
        <v>1</v>
      </c>
      <c r="D203" t="s">
        <v>17</v>
      </c>
      <c r="E203" t="s">
        <v>1505</v>
      </c>
      <c r="F203" s="1">
        <v>1</v>
      </c>
    </row>
    <row r="204" spans="1:6" x14ac:dyDescent="0.3">
      <c r="A204" t="s">
        <v>32</v>
      </c>
      <c r="B204" t="s">
        <v>33</v>
      </c>
      <c r="C204">
        <v>1</v>
      </c>
      <c r="D204" t="s">
        <v>17</v>
      </c>
      <c r="E204" t="s">
        <v>1507</v>
      </c>
      <c r="F204" s="1">
        <v>1</v>
      </c>
    </row>
    <row r="205" spans="1:6" x14ac:dyDescent="0.3">
      <c r="A205" t="s">
        <v>32</v>
      </c>
      <c r="B205" t="s">
        <v>33</v>
      </c>
      <c r="C205">
        <v>1</v>
      </c>
      <c r="D205" t="s">
        <v>17</v>
      </c>
      <c r="E205" t="s">
        <v>546</v>
      </c>
      <c r="F205" s="1">
        <v>1</v>
      </c>
    </row>
    <row r="206" spans="1:6" x14ac:dyDescent="0.3">
      <c r="A206" t="s">
        <v>32</v>
      </c>
      <c r="B206" t="s">
        <v>33</v>
      </c>
      <c r="C206">
        <v>1</v>
      </c>
      <c r="D206" t="s">
        <v>102</v>
      </c>
      <c r="E206" t="s">
        <v>1510</v>
      </c>
      <c r="F206" s="1">
        <v>1</v>
      </c>
    </row>
    <row r="207" spans="1:6" x14ac:dyDescent="0.3">
      <c r="A207" t="s">
        <v>32</v>
      </c>
      <c r="B207" t="s">
        <v>33</v>
      </c>
      <c r="C207">
        <v>1</v>
      </c>
      <c r="D207" t="s">
        <v>102</v>
      </c>
      <c r="E207" t="s">
        <v>549</v>
      </c>
      <c r="F207" s="1">
        <v>1</v>
      </c>
    </row>
    <row r="208" spans="1:6" x14ac:dyDescent="0.3">
      <c r="A208" t="s">
        <v>32</v>
      </c>
      <c r="B208" t="s">
        <v>33</v>
      </c>
      <c r="C208">
        <v>2</v>
      </c>
      <c r="D208" t="s">
        <v>16</v>
      </c>
      <c r="E208" t="s">
        <v>1512</v>
      </c>
      <c r="F208" s="1">
        <v>1</v>
      </c>
    </row>
    <row r="209" spans="1:6" x14ac:dyDescent="0.3">
      <c r="A209" t="s">
        <v>32</v>
      </c>
      <c r="B209" t="s">
        <v>33</v>
      </c>
      <c r="C209">
        <v>2</v>
      </c>
      <c r="D209" t="s">
        <v>16</v>
      </c>
      <c r="E209" t="s">
        <v>1514</v>
      </c>
      <c r="F209" s="1">
        <v>1</v>
      </c>
    </row>
    <row r="210" spans="1:6" x14ac:dyDescent="0.3">
      <c r="A210" t="s">
        <v>32</v>
      </c>
      <c r="B210" t="s">
        <v>33</v>
      </c>
      <c r="C210">
        <v>2</v>
      </c>
      <c r="D210" t="s">
        <v>16</v>
      </c>
      <c r="E210" t="s">
        <v>1516</v>
      </c>
      <c r="F210" s="1">
        <v>1</v>
      </c>
    </row>
    <row r="211" spans="1:6" x14ac:dyDescent="0.3">
      <c r="A211" t="s">
        <v>32</v>
      </c>
      <c r="B211" t="s">
        <v>33</v>
      </c>
      <c r="C211">
        <v>2</v>
      </c>
      <c r="D211" t="s">
        <v>16</v>
      </c>
      <c r="E211" t="s">
        <v>551</v>
      </c>
      <c r="F211" s="1">
        <v>1</v>
      </c>
    </row>
    <row r="212" spans="1:6" x14ac:dyDescent="0.3">
      <c r="A212" t="s">
        <v>32</v>
      </c>
      <c r="B212" t="s">
        <v>33</v>
      </c>
      <c r="C212">
        <v>2</v>
      </c>
      <c r="D212" t="s">
        <v>17</v>
      </c>
      <c r="E212" t="s">
        <v>1519</v>
      </c>
      <c r="F212" s="1">
        <v>1</v>
      </c>
    </row>
    <row r="213" spans="1:6" x14ac:dyDescent="0.3">
      <c r="A213" t="s">
        <v>32</v>
      </c>
      <c r="B213" t="s">
        <v>33</v>
      </c>
      <c r="C213">
        <v>2</v>
      </c>
      <c r="D213" t="s">
        <v>17</v>
      </c>
      <c r="E213" t="s">
        <v>1521</v>
      </c>
      <c r="F213" s="1">
        <v>1</v>
      </c>
    </row>
    <row r="214" spans="1:6" x14ac:dyDescent="0.3">
      <c r="A214" t="s">
        <v>32</v>
      </c>
      <c r="B214" t="s">
        <v>33</v>
      </c>
      <c r="C214">
        <v>2</v>
      </c>
      <c r="D214" t="s">
        <v>17</v>
      </c>
      <c r="E214" t="s">
        <v>554</v>
      </c>
      <c r="F214" s="1">
        <v>1</v>
      </c>
    </row>
    <row r="215" spans="1:6" x14ac:dyDescent="0.3">
      <c r="A215" t="s">
        <v>32</v>
      </c>
      <c r="B215" t="s">
        <v>33</v>
      </c>
      <c r="C215">
        <v>2</v>
      </c>
      <c r="D215" t="s">
        <v>102</v>
      </c>
      <c r="E215" t="s">
        <v>1524</v>
      </c>
      <c r="F215" s="1">
        <v>1</v>
      </c>
    </row>
    <row r="216" spans="1:6" x14ac:dyDescent="0.3">
      <c r="A216" t="s">
        <v>32</v>
      </c>
      <c r="B216" t="s">
        <v>33</v>
      </c>
      <c r="C216">
        <v>2</v>
      </c>
      <c r="D216" t="s">
        <v>102</v>
      </c>
      <c r="E216" t="s">
        <v>557</v>
      </c>
      <c r="F216" s="1">
        <v>1</v>
      </c>
    </row>
    <row r="217" spans="1:6" x14ac:dyDescent="0.3">
      <c r="A217" t="s">
        <v>32</v>
      </c>
      <c r="B217" t="s">
        <v>33</v>
      </c>
      <c r="C217">
        <v>3</v>
      </c>
      <c r="D217" t="s">
        <v>16</v>
      </c>
      <c r="E217" t="s">
        <v>1527</v>
      </c>
      <c r="F217" s="1">
        <v>1</v>
      </c>
    </row>
    <row r="218" spans="1:6" x14ac:dyDescent="0.3">
      <c r="A218" t="s">
        <v>32</v>
      </c>
      <c r="B218" t="s">
        <v>33</v>
      </c>
      <c r="C218">
        <v>3</v>
      </c>
      <c r="D218" t="s">
        <v>16</v>
      </c>
      <c r="E218" t="s">
        <v>1529</v>
      </c>
      <c r="F218" s="1">
        <v>1</v>
      </c>
    </row>
    <row r="219" spans="1:6" x14ac:dyDescent="0.3">
      <c r="A219" t="s">
        <v>32</v>
      </c>
      <c r="B219" t="s">
        <v>33</v>
      </c>
      <c r="C219">
        <v>3</v>
      </c>
      <c r="D219" t="s">
        <v>16</v>
      </c>
      <c r="E219" t="s">
        <v>1531</v>
      </c>
      <c r="F219" s="1">
        <v>1</v>
      </c>
    </row>
    <row r="220" spans="1:6" x14ac:dyDescent="0.3">
      <c r="A220" t="s">
        <v>32</v>
      </c>
      <c r="B220" t="s">
        <v>33</v>
      </c>
      <c r="C220">
        <v>3</v>
      </c>
      <c r="D220" t="s">
        <v>16</v>
      </c>
      <c r="E220" t="s">
        <v>560</v>
      </c>
      <c r="F220" s="1">
        <v>1</v>
      </c>
    </row>
    <row r="221" spans="1:6" x14ac:dyDescent="0.3">
      <c r="A221" t="s">
        <v>32</v>
      </c>
      <c r="B221" t="s">
        <v>33</v>
      </c>
      <c r="C221">
        <v>3</v>
      </c>
      <c r="D221" t="s">
        <v>17</v>
      </c>
      <c r="E221" t="s">
        <v>1534</v>
      </c>
      <c r="F221" s="1">
        <v>1</v>
      </c>
    </row>
    <row r="222" spans="1:6" x14ac:dyDescent="0.3">
      <c r="A222" t="s">
        <v>32</v>
      </c>
      <c r="B222" t="s">
        <v>33</v>
      </c>
      <c r="C222">
        <v>3</v>
      </c>
      <c r="D222" t="s">
        <v>17</v>
      </c>
      <c r="E222" t="s">
        <v>1537</v>
      </c>
      <c r="F222" s="1">
        <v>1</v>
      </c>
    </row>
    <row r="223" spans="1:6" x14ac:dyDescent="0.3">
      <c r="A223" t="s">
        <v>32</v>
      </c>
      <c r="B223" t="s">
        <v>33</v>
      </c>
      <c r="C223">
        <v>3</v>
      </c>
      <c r="D223" t="s">
        <v>17</v>
      </c>
      <c r="E223" t="s">
        <v>563</v>
      </c>
      <c r="F223" s="1">
        <v>1</v>
      </c>
    </row>
    <row r="224" spans="1:6" x14ac:dyDescent="0.3">
      <c r="A224" t="s">
        <v>32</v>
      </c>
      <c r="B224" t="s">
        <v>33</v>
      </c>
      <c r="C224">
        <v>3</v>
      </c>
      <c r="D224" t="s">
        <v>102</v>
      </c>
      <c r="E224" t="s">
        <v>1540</v>
      </c>
      <c r="F224" s="1">
        <v>1</v>
      </c>
    </row>
    <row r="225" spans="1:6" x14ac:dyDescent="0.3">
      <c r="A225" t="s">
        <v>32</v>
      </c>
      <c r="B225" t="s">
        <v>33</v>
      </c>
      <c r="C225">
        <v>3</v>
      </c>
      <c r="D225" t="s">
        <v>102</v>
      </c>
      <c r="E225" t="s">
        <v>566</v>
      </c>
      <c r="F225" s="1">
        <v>1</v>
      </c>
    </row>
    <row r="226" spans="1:6" x14ac:dyDescent="0.3">
      <c r="A226" t="s">
        <v>32</v>
      </c>
      <c r="B226" t="s">
        <v>33</v>
      </c>
      <c r="C226">
        <v>4</v>
      </c>
      <c r="D226" t="s">
        <v>16</v>
      </c>
      <c r="E226" t="s">
        <v>1542</v>
      </c>
      <c r="F226" s="1">
        <v>1</v>
      </c>
    </row>
    <row r="227" spans="1:6" x14ac:dyDescent="0.3">
      <c r="A227" t="s">
        <v>32</v>
      </c>
      <c r="B227" t="s">
        <v>33</v>
      </c>
      <c r="C227">
        <v>4</v>
      </c>
      <c r="D227" t="s">
        <v>16</v>
      </c>
      <c r="E227" t="s">
        <v>1544</v>
      </c>
      <c r="F227" s="1">
        <v>1</v>
      </c>
    </row>
    <row r="228" spans="1:6" x14ac:dyDescent="0.3">
      <c r="A228" t="s">
        <v>32</v>
      </c>
      <c r="B228" t="s">
        <v>33</v>
      </c>
      <c r="C228">
        <v>4</v>
      </c>
      <c r="D228" t="s">
        <v>16</v>
      </c>
      <c r="E228" t="s">
        <v>1546</v>
      </c>
      <c r="F228" s="1">
        <v>1</v>
      </c>
    </row>
    <row r="229" spans="1:6" x14ac:dyDescent="0.3">
      <c r="A229" t="s">
        <v>32</v>
      </c>
      <c r="B229" t="s">
        <v>33</v>
      </c>
      <c r="C229">
        <v>4</v>
      </c>
      <c r="D229" t="s">
        <v>16</v>
      </c>
      <c r="E229" t="s">
        <v>569</v>
      </c>
      <c r="F229" s="1">
        <v>1</v>
      </c>
    </row>
    <row r="230" spans="1:6" x14ac:dyDescent="0.3">
      <c r="A230" t="s">
        <v>32</v>
      </c>
      <c r="B230" t="s">
        <v>33</v>
      </c>
      <c r="C230">
        <v>4</v>
      </c>
      <c r="D230" t="s">
        <v>17</v>
      </c>
      <c r="E230" t="s">
        <v>1549</v>
      </c>
      <c r="F230" s="1">
        <v>1</v>
      </c>
    </row>
    <row r="231" spans="1:6" x14ac:dyDescent="0.3">
      <c r="A231" t="s">
        <v>32</v>
      </c>
      <c r="B231" t="s">
        <v>33</v>
      </c>
      <c r="C231">
        <v>4</v>
      </c>
      <c r="D231" t="s">
        <v>17</v>
      </c>
      <c r="E231" t="s">
        <v>1551</v>
      </c>
      <c r="F231" s="1">
        <v>1</v>
      </c>
    </row>
    <row r="232" spans="1:6" x14ac:dyDescent="0.3">
      <c r="A232" t="s">
        <v>32</v>
      </c>
      <c r="B232" t="s">
        <v>33</v>
      </c>
      <c r="C232">
        <v>4</v>
      </c>
      <c r="D232" t="s">
        <v>17</v>
      </c>
      <c r="E232" t="s">
        <v>572</v>
      </c>
      <c r="F232" s="1">
        <v>1</v>
      </c>
    </row>
    <row r="233" spans="1:6" x14ac:dyDescent="0.3">
      <c r="A233" t="s">
        <v>32</v>
      </c>
      <c r="B233" t="s">
        <v>33</v>
      </c>
      <c r="C233">
        <v>4</v>
      </c>
      <c r="D233" t="s">
        <v>102</v>
      </c>
      <c r="E233" t="s">
        <v>575</v>
      </c>
      <c r="F233" s="1">
        <v>1</v>
      </c>
    </row>
    <row r="234" spans="1:6" x14ac:dyDescent="0.3">
      <c r="A234" t="s">
        <v>32</v>
      </c>
      <c r="B234" t="s">
        <v>33</v>
      </c>
      <c r="C234">
        <v>5</v>
      </c>
      <c r="D234" t="s">
        <v>16</v>
      </c>
      <c r="E234" t="s">
        <v>1554</v>
      </c>
      <c r="F234" s="1">
        <v>1</v>
      </c>
    </row>
    <row r="235" spans="1:6" x14ac:dyDescent="0.3">
      <c r="A235" t="s">
        <v>32</v>
      </c>
      <c r="B235" t="s">
        <v>33</v>
      </c>
      <c r="C235">
        <v>5</v>
      </c>
      <c r="D235" t="s">
        <v>16</v>
      </c>
      <c r="E235" t="s">
        <v>1557</v>
      </c>
      <c r="F235" s="1">
        <v>1</v>
      </c>
    </row>
    <row r="236" spans="1:6" x14ac:dyDescent="0.3">
      <c r="A236" t="s">
        <v>32</v>
      </c>
      <c r="B236" t="s">
        <v>33</v>
      </c>
      <c r="C236">
        <v>5</v>
      </c>
      <c r="D236" t="s">
        <v>16</v>
      </c>
      <c r="E236" t="s">
        <v>1559</v>
      </c>
      <c r="F236" s="1">
        <v>1</v>
      </c>
    </row>
    <row r="237" spans="1:6" x14ac:dyDescent="0.3">
      <c r="A237" t="s">
        <v>32</v>
      </c>
      <c r="B237" t="s">
        <v>33</v>
      </c>
      <c r="C237">
        <v>5</v>
      </c>
      <c r="D237" t="s">
        <v>16</v>
      </c>
      <c r="E237" t="s">
        <v>578</v>
      </c>
      <c r="F237" s="1">
        <v>1</v>
      </c>
    </row>
    <row r="238" spans="1:6" x14ac:dyDescent="0.3">
      <c r="A238" t="s">
        <v>32</v>
      </c>
      <c r="B238" t="s">
        <v>33</v>
      </c>
      <c r="C238">
        <v>5</v>
      </c>
      <c r="D238" t="s">
        <v>17</v>
      </c>
      <c r="E238" t="s">
        <v>1562</v>
      </c>
      <c r="F238" s="1">
        <v>1</v>
      </c>
    </row>
    <row r="239" spans="1:6" x14ac:dyDescent="0.3">
      <c r="A239" t="s">
        <v>32</v>
      </c>
      <c r="B239" t="s">
        <v>33</v>
      </c>
      <c r="C239">
        <v>5</v>
      </c>
      <c r="D239" t="s">
        <v>17</v>
      </c>
      <c r="E239" t="s">
        <v>1564</v>
      </c>
      <c r="F239" s="1">
        <v>1</v>
      </c>
    </row>
    <row r="240" spans="1:6" x14ac:dyDescent="0.3">
      <c r="A240" t="s">
        <v>32</v>
      </c>
      <c r="B240" t="s">
        <v>33</v>
      </c>
      <c r="C240">
        <v>5</v>
      </c>
      <c r="D240" t="s">
        <v>17</v>
      </c>
      <c r="E240" t="s">
        <v>581</v>
      </c>
      <c r="F240" s="1">
        <v>1</v>
      </c>
    </row>
    <row r="241" spans="1:6" x14ac:dyDescent="0.3">
      <c r="A241" t="s">
        <v>32</v>
      </c>
      <c r="B241" t="s">
        <v>33</v>
      </c>
      <c r="C241">
        <v>5</v>
      </c>
      <c r="D241" t="s">
        <v>102</v>
      </c>
      <c r="E241" t="s">
        <v>584</v>
      </c>
      <c r="F241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F443-71A2-44D4-B11E-38D69CFC4B64}">
  <dimension ref="A1:AA52"/>
  <sheetViews>
    <sheetView workbookViewId="0">
      <pane xSplit="3" ySplit="2" topLeftCell="H17" activePane="bottomRight" state="frozen"/>
      <selection pane="topRight" activeCell="D1" sqref="D1"/>
      <selection pane="bottomLeft" activeCell="A3" sqref="A3"/>
      <selection pane="bottomRight" activeCell="L25" sqref="L25"/>
    </sheetView>
  </sheetViews>
  <sheetFormatPr defaultRowHeight="14" x14ac:dyDescent="0.3"/>
  <sheetData>
    <row r="1" spans="1:27" x14ac:dyDescent="0.3">
      <c r="D1" s="33" t="s">
        <v>15</v>
      </c>
      <c r="E1" s="33"/>
      <c r="F1" s="33"/>
      <c r="G1" s="33"/>
      <c r="H1" s="33"/>
      <c r="I1" s="33"/>
      <c r="J1" s="33" t="s">
        <v>16</v>
      </c>
      <c r="K1" s="33"/>
      <c r="L1" s="33"/>
      <c r="M1" s="33"/>
      <c r="N1" s="33"/>
      <c r="O1" s="33"/>
      <c r="P1" s="33" t="s">
        <v>17</v>
      </c>
      <c r="Q1" s="33"/>
      <c r="R1" s="33"/>
      <c r="S1" s="33"/>
      <c r="T1" s="33"/>
      <c r="U1" s="33"/>
      <c r="V1" s="33" t="s">
        <v>102</v>
      </c>
      <c r="W1" s="33"/>
      <c r="X1" s="33"/>
      <c r="Y1" s="33"/>
      <c r="Z1" s="33"/>
      <c r="AA1" s="33"/>
    </row>
    <row r="2" spans="1:27" x14ac:dyDescent="0.3">
      <c r="A2" t="s">
        <v>1</v>
      </c>
      <c r="B2" t="s">
        <v>2</v>
      </c>
      <c r="C2" t="s">
        <v>3</v>
      </c>
      <c r="D2" t="s">
        <v>7</v>
      </c>
      <c r="E2" t="s">
        <v>11</v>
      </c>
      <c r="F2" t="s">
        <v>9</v>
      </c>
      <c r="G2" t="s">
        <v>5</v>
      </c>
      <c r="H2" t="s">
        <v>12</v>
      </c>
      <c r="I2" t="s">
        <v>10</v>
      </c>
      <c r="J2" t="s">
        <v>7</v>
      </c>
      <c r="K2" t="s">
        <v>11</v>
      </c>
      <c r="L2" t="s">
        <v>9</v>
      </c>
      <c r="M2" t="s">
        <v>5</v>
      </c>
      <c r="N2" t="s">
        <v>12</v>
      </c>
      <c r="O2" t="s">
        <v>10</v>
      </c>
      <c r="P2" t="s">
        <v>7</v>
      </c>
      <c r="Q2" t="s">
        <v>11</v>
      </c>
      <c r="R2" t="s">
        <v>9</v>
      </c>
      <c r="S2" t="s">
        <v>5</v>
      </c>
      <c r="T2" t="s">
        <v>12</v>
      </c>
      <c r="U2" t="s">
        <v>10</v>
      </c>
      <c r="V2" t="s">
        <v>7</v>
      </c>
      <c r="W2" t="s">
        <v>11</v>
      </c>
      <c r="X2" t="s">
        <v>9</v>
      </c>
      <c r="Y2" t="s">
        <v>5</v>
      </c>
      <c r="Z2" t="s">
        <v>12</v>
      </c>
      <c r="AA2" t="s">
        <v>10</v>
      </c>
    </row>
    <row r="3" spans="1:27" x14ac:dyDescent="0.3">
      <c r="A3" t="s">
        <v>13</v>
      </c>
      <c r="B3" t="s">
        <v>14</v>
      </c>
      <c r="C3">
        <v>1</v>
      </c>
      <c r="D3">
        <v>19.113158371209611</v>
      </c>
      <c r="E3">
        <v>2.3029999999999999</v>
      </c>
      <c r="F3">
        <v>0</v>
      </c>
      <c r="G3">
        <v>0</v>
      </c>
      <c r="H3">
        <v>5.4573068671508906</v>
      </c>
      <c r="I3">
        <v>13.65585150405872</v>
      </c>
      <c r="J3">
        <v>19.120358371209612</v>
      </c>
      <c r="K3">
        <v>784.38</v>
      </c>
      <c r="L3">
        <v>0</v>
      </c>
      <c r="M3">
        <v>0</v>
      </c>
      <c r="N3">
        <v>5.4645068671508898</v>
      </c>
      <c r="O3">
        <v>13.65585150405872</v>
      </c>
      <c r="P3">
        <v>19.113158371209611</v>
      </c>
      <c r="Q3">
        <v>1551.1289999999999</v>
      </c>
      <c r="R3">
        <v>0</v>
      </c>
      <c r="S3">
        <v>0</v>
      </c>
      <c r="T3">
        <v>5.4573068671508898</v>
      </c>
      <c r="U3">
        <v>13.65585150405872</v>
      </c>
      <c r="V3">
        <v>19.113158371209611</v>
      </c>
      <c r="W3">
        <v>3600.0839999999998</v>
      </c>
      <c r="X3">
        <v>0</v>
      </c>
      <c r="Y3">
        <v>0</v>
      </c>
      <c r="Z3">
        <v>5.4573068671508906</v>
      </c>
      <c r="AA3">
        <v>13.65585150405872</v>
      </c>
    </row>
    <row r="4" spans="1:27" x14ac:dyDescent="0.3">
      <c r="A4" t="s">
        <v>13</v>
      </c>
      <c r="B4" t="s">
        <v>14</v>
      </c>
      <c r="C4">
        <v>2</v>
      </c>
      <c r="D4">
        <v>22.152430125032964</v>
      </c>
      <c r="E4">
        <v>4.9210000000000003</v>
      </c>
      <c r="F4">
        <v>0</v>
      </c>
      <c r="G4">
        <v>0</v>
      </c>
      <c r="H4">
        <v>6.9614031365211897</v>
      </c>
      <c r="I4">
        <v>15.191026988511776</v>
      </c>
      <c r="J4">
        <v>22.152430125032968</v>
      </c>
      <c r="K4">
        <v>1784.1759999999999</v>
      </c>
      <c r="L4">
        <v>0</v>
      </c>
      <c r="M4">
        <v>0</v>
      </c>
      <c r="N4">
        <v>6.9614031365211906</v>
      </c>
      <c r="O4">
        <v>15.191026988511776</v>
      </c>
      <c r="P4">
        <v>22.152430125032968</v>
      </c>
      <c r="Q4">
        <v>3600.0659999999998</v>
      </c>
      <c r="R4">
        <v>0</v>
      </c>
      <c r="S4">
        <v>0</v>
      </c>
      <c r="T4">
        <v>6.9614031365211906</v>
      </c>
      <c r="U4">
        <v>15.191026988511776</v>
      </c>
      <c r="V4">
        <v>22.152430125032968</v>
      </c>
      <c r="W4">
        <v>3600.0920000000001</v>
      </c>
      <c r="X4">
        <v>0</v>
      </c>
      <c r="Y4">
        <v>0</v>
      </c>
      <c r="Z4">
        <v>6.9614031365211915</v>
      </c>
      <c r="AA4">
        <v>15.191026988511776</v>
      </c>
    </row>
    <row r="5" spans="1:27" x14ac:dyDescent="0.3">
      <c r="A5" t="s">
        <v>13</v>
      </c>
      <c r="B5" t="s">
        <v>14</v>
      </c>
      <c r="C5">
        <v>3</v>
      </c>
      <c r="D5">
        <v>2.3320333963418576</v>
      </c>
      <c r="E5">
        <v>0.90700000000000003</v>
      </c>
      <c r="F5">
        <v>0</v>
      </c>
      <c r="G5">
        <v>0</v>
      </c>
      <c r="H5">
        <v>2.3320333963418576</v>
      </c>
      <c r="I5">
        <v>0</v>
      </c>
      <c r="J5">
        <v>2.3320333963418576</v>
      </c>
      <c r="K5">
        <v>135.89400000000001</v>
      </c>
      <c r="L5">
        <v>0</v>
      </c>
      <c r="M5">
        <v>0</v>
      </c>
      <c r="N5">
        <v>2.3320333963418576</v>
      </c>
      <c r="O5">
        <v>0</v>
      </c>
      <c r="P5">
        <v>2.3320333963418576</v>
      </c>
      <c r="Q5">
        <v>636.81399999999996</v>
      </c>
      <c r="R5">
        <v>0</v>
      </c>
      <c r="S5">
        <v>0</v>
      </c>
      <c r="T5">
        <v>2.3320333963418576</v>
      </c>
      <c r="U5">
        <v>0</v>
      </c>
      <c r="V5">
        <v>2.3320333963418576</v>
      </c>
      <c r="W5">
        <v>3600.0909999999999</v>
      </c>
      <c r="X5">
        <v>0</v>
      </c>
      <c r="Y5">
        <v>0</v>
      </c>
      <c r="Z5">
        <v>2.3320333963418576</v>
      </c>
      <c r="AA5">
        <v>0</v>
      </c>
    </row>
    <row r="6" spans="1:27" x14ac:dyDescent="0.3">
      <c r="A6" t="s">
        <v>13</v>
      </c>
      <c r="B6" t="s">
        <v>14</v>
      </c>
      <c r="C6">
        <v>4</v>
      </c>
      <c r="D6">
        <v>3.968250290840007</v>
      </c>
      <c r="E6">
        <v>2.5099999999999998</v>
      </c>
      <c r="F6">
        <v>0</v>
      </c>
      <c r="G6">
        <v>0</v>
      </c>
      <c r="H6">
        <v>3.968250290840007</v>
      </c>
      <c r="I6">
        <v>0</v>
      </c>
      <c r="J6">
        <v>3.9682502908400066</v>
      </c>
      <c r="K6">
        <v>750.221</v>
      </c>
      <c r="L6">
        <v>0</v>
      </c>
      <c r="M6">
        <v>0</v>
      </c>
      <c r="N6">
        <v>3.9682502908400066</v>
      </c>
      <c r="O6">
        <v>0</v>
      </c>
      <c r="P6">
        <v>3.968250290840007</v>
      </c>
      <c r="Q6">
        <v>2002.5530000000001</v>
      </c>
      <c r="R6">
        <v>0</v>
      </c>
      <c r="S6">
        <v>0</v>
      </c>
      <c r="T6">
        <v>3.968250290840007</v>
      </c>
      <c r="U6">
        <v>0</v>
      </c>
      <c r="V6">
        <v>3.9682502908400066</v>
      </c>
      <c r="W6">
        <v>3600.1</v>
      </c>
      <c r="X6">
        <v>0</v>
      </c>
      <c r="Y6">
        <v>0</v>
      </c>
      <c r="Z6">
        <v>3.9682502908400066</v>
      </c>
      <c r="AA6">
        <v>0</v>
      </c>
    </row>
    <row r="7" spans="1:27" x14ac:dyDescent="0.3">
      <c r="A7" t="s">
        <v>13</v>
      </c>
      <c r="B7" t="s">
        <v>14</v>
      </c>
      <c r="C7">
        <v>5</v>
      </c>
      <c r="D7">
        <v>3.7929994136695395</v>
      </c>
      <c r="E7">
        <v>1.538</v>
      </c>
      <c r="F7">
        <v>0</v>
      </c>
      <c r="G7">
        <v>0</v>
      </c>
      <c r="H7">
        <v>3.7929994136695395</v>
      </c>
      <c r="I7">
        <v>0</v>
      </c>
      <c r="J7">
        <v>3.7953994136695393</v>
      </c>
      <c r="K7">
        <v>708.14300000000003</v>
      </c>
      <c r="L7">
        <v>0</v>
      </c>
      <c r="M7">
        <v>0</v>
      </c>
      <c r="N7">
        <v>3.7953994136695393</v>
      </c>
      <c r="O7">
        <v>0</v>
      </c>
      <c r="P7">
        <v>3.79299941366954</v>
      </c>
      <c r="Q7">
        <v>1898.9760000000001</v>
      </c>
      <c r="R7">
        <v>0</v>
      </c>
      <c r="S7">
        <v>0</v>
      </c>
      <c r="T7">
        <v>3.79299941366954</v>
      </c>
      <c r="U7">
        <v>0</v>
      </c>
      <c r="V7">
        <v>3.7929994136695404</v>
      </c>
      <c r="W7">
        <v>3600.0169999999998</v>
      </c>
      <c r="X7">
        <v>0</v>
      </c>
      <c r="Y7">
        <v>0</v>
      </c>
      <c r="Z7">
        <v>3.7929994136695404</v>
      </c>
      <c r="AA7">
        <v>0</v>
      </c>
    </row>
    <row r="8" spans="1:27" x14ac:dyDescent="0.3">
      <c r="A8" t="s">
        <v>18</v>
      </c>
      <c r="B8" t="s">
        <v>19</v>
      </c>
      <c r="C8">
        <v>1</v>
      </c>
      <c r="D8">
        <v>39.75575014615066</v>
      </c>
      <c r="E8">
        <v>3601.355</v>
      </c>
      <c r="F8">
        <v>9.0671677550743519E-4</v>
      </c>
      <c r="G8">
        <v>0</v>
      </c>
      <c r="H8">
        <v>24.738176626612283</v>
      </c>
      <c r="I8">
        <v>15.017573519538377</v>
      </c>
      <c r="J8">
        <v>40.118458749796645</v>
      </c>
      <c r="K8">
        <v>3600.4140000000002</v>
      </c>
      <c r="L8">
        <v>0</v>
      </c>
      <c r="M8">
        <v>0</v>
      </c>
      <c r="N8">
        <v>25.100885230258271</v>
      </c>
      <c r="O8">
        <v>15.017573519538377</v>
      </c>
      <c r="P8">
        <v>39.833758749796658</v>
      </c>
      <c r="Q8">
        <v>3600.194</v>
      </c>
      <c r="R8">
        <v>0</v>
      </c>
      <c r="S8">
        <v>0</v>
      </c>
      <c r="T8">
        <v>24.816185230258284</v>
      </c>
      <c r="U8">
        <v>15.017573519538377</v>
      </c>
      <c r="V8">
        <v>39.761758749796655</v>
      </c>
      <c r="W8">
        <v>3600.1260000000002</v>
      </c>
      <c r="X8">
        <v>0</v>
      </c>
      <c r="Y8">
        <v>0</v>
      </c>
      <c r="Z8">
        <v>24.744185230258275</v>
      </c>
      <c r="AA8">
        <v>15.017573519538377</v>
      </c>
    </row>
    <row r="9" spans="1:27" x14ac:dyDescent="0.3">
      <c r="A9" t="s">
        <v>18</v>
      </c>
      <c r="B9" t="s">
        <v>19</v>
      </c>
      <c r="C9">
        <v>2</v>
      </c>
      <c r="D9">
        <v>41.555424227173049</v>
      </c>
      <c r="E9">
        <v>207.953</v>
      </c>
      <c r="F9">
        <v>8.2186408665249551E-5</v>
      </c>
      <c r="G9">
        <v>0</v>
      </c>
      <c r="H9">
        <v>26.119612540579602</v>
      </c>
      <c r="I9">
        <v>15.435811686593444</v>
      </c>
      <c r="J9">
        <v>41.898026514197895</v>
      </c>
      <c r="K9">
        <v>3600.0569999999998</v>
      </c>
      <c r="L9">
        <v>0</v>
      </c>
      <c r="M9">
        <v>0</v>
      </c>
      <c r="N9">
        <v>26.462214827604452</v>
      </c>
      <c r="O9">
        <v>15.435811686593444</v>
      </c>
      <c r="P9">
        <v>41.767224227173052</v>
      </c>
      <c r="Q9">
        <v>3600.1080000000002</v>
      </c>
      <c r="R9">
        <v>0</v>
      </c>
      <c r="S9">
        <v>0</v>
      </c>
      <c r="T9">
        <v>26.33141254057961</v>
      </c>
      <c r="U9">
        <v>15.435811686593444</v>
      </c>
      <c r="V9">
        <v>41.555424227173049</v>
      </c>
      <c r="W9">
        <v>3600.096</v>
      </c>
      <c r="X9">
        <v>0</v>
      </c>
      <c r="Y9">
        <v>0</v>
      </c>
      <c r="Z9">
        <v>26.119612540579602</v>
      </c>
      <c r="AA9">
        <v>15.435811686593444</v>
      </c>
    </row>
    <row r="10" spans="1:27" x14ac:dyDescent="0.3">
      <c r="A10" t="s">
        <v>18</v>
      </c>
      <c r="B10" t="s">
        <v>19</v>
      </c>
      <c r="C10">
        <v>3</v>
      </c>
      <c r="D10">
        <v>19.740402093227388</v>
      </c>
      <c r="E10">
        <v>820.41899999999998</v>
      </c>
      <c r="F10">
        <v>0</v>
      </c>
      <c r="G10">
        <v>0</v>
      </c>
      <c r="H10">
        <v>19.740402093227388</v>
      </c>
      <c r="I10">
        <v>0</v>
      </c>
      <c r="J10">
        <v>19.868326224054695</v>
      </c>
      <c r="K10">
        <v>3600.5169999999998</v>
      </c>
      <c r="L10">
        <v>0</v>
      </c>
      <c r="M10">
        <v>0</v>
      </c>
      <c r="N10">
        <v>19.868326224054695</v>
      </c>
      <c r="O10">
        <v>0</v>
      </c>
      <c r="P10">
        <v>19.858726224054692</v>
      </c>
      <c r="Q10">
        <v>3600.058</v>
      </c>
      <c r="R10">
        <v>0</v>
      </c>
      <c r="S10">
        <v>0</v>
      </c>
      <c r="T10">
        <v>19.858726224054692</v>
      </c>
      <c r="U10">
        <v>0</v>
      </c>
      <c r="V10">
        <v>19.740402093227388</v>
      </c>
      <c r="W10">
        <v>3600.0990000000002</v>
      </c>
      <c r="X10">
        <v>0</v>
      </c>
      <c r="Y10">
        <v>0</v>
      </c>
      <c r="Z10">
        <v>19.740402093227388</v>
      </c>
      <c r="AA10">
        <v>0</v>
      </c>
    </row>
    <row r="11" spans="1:27" x14ac:dyDescent="0.3">
      <c r="A11" t="s">
        <v>18</v>
      </c>
      <c r="B11" t="s">
        <v>19</v>
      </c>
      <c r="C11">
        <v>4</v>
      </c>
      <c r="D11">
        <v>22.758820843048195</v>
      </c>
      <c r="E11">
        <v>3601.018</v>
      </c>
      <c r="F11">
        <v>4.9312486298519831E-3</v>
      </c>
      <c r="G11">
        <v>0</v>
      </c>
      <c r="H11">
        <v>20.153892434511498</v>
      </c>
      <c r="I11">
        <v>2.6049284085366962</v>
      </c>
      <c r="J11">
        <v>23.117820147610626</v>
      </c>
      <c r="K11">
        <v>3600.1170000000002</v>
      </c>
      <c r="L11">
        <v>0</v>
      </c>
      <c r="M11">
        <v>0</v>
      </c>
      <c r="N11">
        <v>20.512891739073929</v>
      </c>
      <c r="O11">
        <v>2.6049284085366962</v>
      </c>
      <c r="P11">
        <v>23.115855568532133</v>
      </c>
      <c r="Q11">
        <v>3600.7660000000001</v>
      </c>
      <c r="R11">
        <v>0</v>
      </c>
      <c r="S11">
        <v>0</v>
      </c>
      <c r="T11">
        <v>20.510927159995436</v>
      </c>
      <c r="U11">
        <v>2.6049284085366962</v>
      </c>
      <c r="V11">
        <v>22.758820843048206</v>
      </c>
      <c r="W11">
        <v>3600.0859999999998</v>
      </c>
      <c r="X11">
        <v>0</v>
      </c>
      <c r="Y11">
        <v>0</v>
      </c>
      <c r="Z11">
        <v>20.153892434511508</v>
      </c>
      <c r="AA11">
        <v>2.6049284085366962</v>
      </c>
    </row>
    <row r="12" spans="1:27" x14ac:dyDescent="0.3">
      <c r="A12" t="s">
        <v>18</v>
      </c>
      <c r="B12" t="s">
        <v>19</v>
      </c>
      <c r="C12">
        <v>5</v>
      </c>
      <c r="D12">
        <v>34.061136441961978</v>
      </c>
      <c r="E12">
        <v>3601.0390000000002</v>
      </c>
      <c r="F12">
        <v>4.2144084673436605E-3</v>
      </c>
      <c r="G12">
        <v>0</v>
      </c>
      <c r="H12">
        <v>22.01374130213938</v>
      </c>
      <c r="I12">
        <v>12.047395139822598</v>
      </c>
      <c r="J12">
        <v>34.23259926627064</v>
      </c>
      <c r="K12">
        <v>3600.277</v>
      </c>
      <c r="L12">
        <v>0</v>
      </c>
      <c r="M12">
        <v>0</v>
      </c>
      <c r="N12">
        <v>22.185204126448042</v>
      </c>
      <c r="O12">
        <v>12.047395139822598</v>
      </c>
      <c r="P12">
        <v>34.167917464225027</v>
      </c>
      <c r="Q12">
        <v>3600.085</v>
      </c>
      <c r="R12">
        <v>0</v>
      </c>
      <c r="S12">
        <v>0</v>
      </c>
      <c r="T12">
        <v>22.120522324402426</v>
      </c>
      <c r="U12">
        <v>12.047395139822598</v>
      </c>
      <c r="V12">
        <v>34.061136441961978</v>
      </c>
      <c r="W12">
        <v>3600.1219999999998</v>
      </c>
      <c r="X12">
        <v>0</v>
      </c>
      <c r="Y12">
        <v>0</v>
      </c>
      <c r="Z12">
        <v>22.013741302139383</v>
      </c>
      <c r="AA12">
        <v>12.047395139822598</v>
      </c>
    </row>
    <row r="13" spans="1:27" x14ac:dyDescent="0.3">
      <c r="A13" t="s">
        <v>21</v>
      </c>
      <c r="B13" t="s">
        <v>22</v>
      </c>
      <c r="C13">
        <v>1</v>
      </c>
      <c r="D13">
        <v>1014.7879161034551</v>
      </c>
      <c r="E13">
        <v>3603.576</v>
      </c>
      <c r="F13">
        <v>0.93890347617094894</v>
      </c>
      <c r="G13">
        <v>20</v>
      </c>
      <c r="H13">
        <v>66.305906501534665</v>
      </c>
      <c r="I13">
        <v>928.48200960192048</v>
      </c>
      <c r="J13">
        <v>87.71120226777964</v>
      </c>
      <c r="K13">
        <v>3600.5259999999998</v>
      </c>
      <c r="L13">
        <v>0</v>
      </c>
      <c r="M13">
        <v>0</v>
      </c>
      <c r="N13">
        <v>61.329032873419123</v>
      </c>
      <c r="O13">
        <v>26.382169394360517</v>
      </c>
      <c r="P13">
        <v>87.977597793632953</v>
      </c>
      <c r="Q13">
        <v>3600.0929999999998</v>
      </c>
      <c r="R13">
        <v>0</v>
      </c>
      <c r="S13">
        <v>0</v>
      </c>
      <c r="T13">
        <v>61.595428399272429</v>
      </c>
      <c r="U13">
        <v>26.382169394360517</v>
      </c>
      <c r="V13">
        <v>119.85564640508085</v>
      </c>
      <c r="W13">
        <v>3602.9740000000002</v>
      </c>
      <c r="X13">
        <v>0</v>
      </c>
      <c r="Y13">
        <v>0</v>
      </c>
      <c r="Z13">
        <v>60.264073532296074</v>
      </c>
      <c r="AA13">
        <v>59.591572872784781</v>
      </c>
    </row>
    <row r="14" spans="1:27" x14ac:dyDescent="0.3">
      <c r="A14" t="s">
        <v>21</v>
      </c>
      <c r="B14" t="s">
        <v>22</v>
      </c>
      <c r="C14">
        <v>2</v>
      </c>
      <c r="D14">
        <v>95.557259588525312</v>
      </c>
      <c r="E14">
        <v>3603.6089999999999</v>
      </c>
      <c r="F14">
        <v>0.3902552040483972</v>
      </c>
      <c r="G14">
        <v>0</v>
      </c>
      <c r="H14">
        <v>43.015444818293709</v>
      </c>
      <c r="I14">
        <v>52.541814770231596</v>
      </c>
      <c r="J14">
        <v>75.236867826458607</v>
      </c>
      <c r="K14">
        <v>3600.5230000000001</v>
      </c>
      <c r="L14">
        <v>0</v>
      </c>
      <c r="M14">
        <v>0</v>
      </c>
      <c r="N14">
        <v>43.28027923329676</v>
      </c>
      <c r="O14">
        <v>31.95658859316185</v>
      </c>
      <c r="P14">
        <v>75.04042152786279</v>
      </c>
      <c r="Q14">
        <v>3600.08</v>
      </c>
      <c r="R14">
        <v>0</v>
      </c>
      <c r="S14">
        <v>0</v>
      </c>
      <c r="T14">
        <v>43.083832934700936</v>
      </c>
      <c r="U14">
        <v>31.95658859316185</v>
      </c>
      <c r="V14">
        <v>79.130001975071039</v>
      </c>
      <c r="W14">
        <v>3600.2</v>
      </c>
      <c r="X14">
        <v>0</v>
      </c>
      <c r="Y14">
        <v>0</v>
      </c>
      <c r="Z14">
        <v>42.42704004937049</v>
      </c>
      <c r="AA14">
        <v>36.702961925700549</v>
      </c>
    </row>
    <row r="15" spans="1:27" x14ac:dyDescent="0.3">
      <c r="A15" t="s">
        <v>21</v>
      </c>
      <c r="B15" t="s">
        <v>22</v>
      </c>
      <c r="C15">
        <v>3</v>
      </c>
      <c r="D15">
        <v>600.59706196367097</v>
      </c>
      <c r="E15">
        <v>3603.5230000000001</v>
      </c>
      <c r="F15">
        <v>0.90846865434963198</v>
      </c>
      <c r="G15">
        <v>0</v>
      </c>
      <c r="H15">
        <v>61.760060614299675</v>
      </c>
      <c r="I15">
        <v>538.83700134937135</v>
      </c>
      <c r="J15">
        <v>78.281067711821493</v>
      </c>
      <c r="K15">
        <v>3600.2649999999999</v>
      </c>
      <c r="L15">
        <v>0</v>
      </c>
      <c r="M15">
        <v>0</v>
      </c>
      <c r="N15">
        <v>55.734314784492213</v>
      </c>
      <c r="O15">
        <v>22.546752927329283</v>
      </c>
      <c r="P15">
        <v>85.580124037721163</v>
      </c>
      <c r="Q15">
        <v>3600.6480000000001</v>
      </c>
      <c r="R15">
        <v>0</v>
      </c>
      <c r="S15">
        <v>0</v>
      </c>
      <c r="T15">
        <v>55.451924441542758</v>
      </c>
      <c r="U15">
        <v>30.128199596178408</v>
      </c>
      <c r="V15">
        <v>114.59645245371252</v>
      </c>
      <c r="W15">
        <v>3603.4870000000001</v>
      </c>
      <c r="X15">
        <v>0</v>
      </c>
      <c r="Y15">
        <v>0</v>
      </c>
      <c r="Z15">
        <v>54.403405951003585</v>
      </c>
      <c r="AA15">
        <v>60.193046502708938</v>
      </c>
    </row>
    <row r="16" spans="1:27" x14ac:dyDescent="0.3">
      <c r="A16" t="s">
        <v>21</v>
      </c>
      <c r="B16" t="s">
        <v>22</v>
      </c>
      <c r="C16">
        <v>4</v>
      </c>
      <c r="D16">
        <v>79.090030546070395</v>
      </c>
      <c r="E16">
        <v>3603.453</v>
      </c>
      <c r="F16">
        <v>0.30597889132136707</v>
      </c>
      <c r="G16">
        <v>0</v>
      </c>
      <c r="H16">
        <v>43.170441815434913</v>
      </c>
      <c r="I16">
        <v>35.919588730635482</v>
      </c>
      <c r="J16">
        <v>79.823886337707364</v>
      </c>
      <c r="K16">
        <v>3600.5659999999998</v>
      </c>
      <c r="L16">
        <v>0</v>
      </c>
      <c r="M16">
        <v>0</v>
      </c>
      <c r="N16">
        <v>43.904297607071889</v>
      </c>
      <c r="O16">
        <v>35.919588730635482</v>
      </c>
      <c r="P16">
        <v>82.049848009066338</v>
      </c>
      <c r="Q16">
        <v>3600.509</v>
      </c>
      <c r="R16">
        <v>0</v>
      </c>
      <c r="S16">
        <v>0</v>
      </c>
      <c r="T16">
        <v>43.058936470687783</v>
      </c>
      <c r="U16">
        <v>38.990911538378555</v>
      </c>
      <c r="V16">
        <v>110.35665208980406</v>
      </c>
      <c r="W16">
        <v>3600.2860000000001</v>
      </c>
      <c r="X16">
        <v>0</v>
      </c>
      <c r="Y16">
        <v>0</v>
      </c>
      <c r="Z16">
        <v>42.651198348632022</v>
      </c>
      <c r="AA16">
        <v>67.705453741172036</v>
      </c>
    </row>
    <row r="17" spans="1:27" x14ac:dyDescent="0.3">
      <c r="A17" t="s">
        <v>21</v>
      </c>
      <c r="B17" t="s">
        <v>22</v>
      </c>
      <c r="C17">
        <v>5</v>
      </c>
      <c r="D17">
        <v>62.581996299609443</v>
      </c>
      <c r="E17">
        <v>3602.9180000000001</v>
      </c>
      <c r="F17">
        <v>1.7105361952065104E-3</v>
      </c>
      <c r="G17">
        <v>0</v>
      </c>
      <c r="H17">
        <v>53.019991882971169</v>
      </c>
      <c r="I17">
        <v>9.5620044166382758</v>
      </c>
      <c r="J17">
        <v>63.492378102066596</v>
      </c>
      <c r="K17">
        <v>3600.0540000000001</v>
      </c>
      <c r="L17">
        <v>0</v>
      </c>
      <c r="M17">
        <v>0</v>
      </c>
      <c r="N17">
        <v>53.930373685428322</v>
      </c>
      <c r="O17">
        <v>9.5620044166382758</v>
      </c>
      <c r="P17">
        <v>74.560326357414041</v>
      </c>
      <c r="Q17">
        <v>3600.181</v>
      </c>
      <c r="R17">
        <v>0</v>
      </c>
      <c r="S17">
        <v>0</v>
      </c>
      <c r="T17">
        <v>54.294175634858348</v>
      </c>
      <c r="U17">
        <v>20.266150722555693</v>
      </c>
      <c r="V17">
        <v>67.93833028370095</v>
      </c>
      <c r="W17">
        <v>3600.2489999999998</v>
      </c>
      <c r="X17">
        <v>0</v>
      </c>
      <c r="Y17">
        <v>0</v>
      </c>
      <c r="Z17">
        <v>53.019991882971127</v>
      </c>
      <c r="AA17">
        <v>14.918338400729827</v>
      </c>
    </row>
    <row r="18" spans="1:27" x14ac:dyDescent="0.3">
      <c r="A18" t="s">
        <v>23</v>
      </c>
      <c r="B18" t="s">
        <v>24</v>
      </c>
      <c r="C18">
        <v>1</v>
      </c>
      <c r="D18">
        <v>1779.0503180665351</v>
      </c>
      <c r="E18">
        <v>3608.6219999999998</v>
      </c>
      <c r="F18">
        <v>0.99645958548608748</v>
      </c>
      <c r="G18">
        <v>40</v>
      </c>
      <c r="H18">
        <v>104.48449120108297</v>
      </c>
      <c r="I18">
        <v>1634.565826865452</v>
      </c>
      <c r="J18">
        <v>96.057852332269405</v>
      </c>
      <c r="K18">
        <v>3600.7579999999998</v>
      </c>
      <c r="L18">
        <v>0</v>
      </c>
      <c r="M18">
        <v>0</v>
      </c>
      <c r="N18">
        <v>76.771126364420738</v>
      </c>
      <c r="O18">
        <v>19.286725967848664</v>
      </c>
      <c r="P18">
        <v>95.2872019031946</v>
      </c>
      <c r="Q18">
        <v>3600.232</v>
      </c>
      <c r="R18">
        <v>0</v>
      </c>
      <c r="S18">
        <v>0</v>
      </c>
      <c r="T18">
        <v>76.000475935345932</v>
      </c>
      <c r="U18">
        <v>19.286725967848664</v>
      </c>
      <c r="V18">
        <v>139.8957524937764</v>
      </c>
      <c r="W18">
        <v>3600.43</v>
      </c>
      <c r="X18">
        <v>0</v>
      </c>
      <c r="Y18">
        <v>0</v>
      </c>
      <c r="Z18">
        <v>74.488041210212742</v>
      </c>
      <c r="AA18">
        <v>65.407711283563643</v>
      </c>
    </row>
    <row r="19" spans="1:27" x14ac:dyDescent="0.3">
      <c r="A19" t="s">
        <v>23</v>
      </c>
      <c r="B19" t="s">
        <v>24</v>
      </c>
      <c r="C19">
        <v>2</v>
      </c>
      <c r="D19">
        <v>1485.9867313469467</v>
      </c>
      <c r="E19">
        <v>3608.384</v>
      </c>
      <c r="F19">
        <v>0.99564039637029755</v>
      </c>
      <c r="G19">
        <v>40</v>
      </c>
      <c r="H19">
        <v>106.82812538264318</v>
      </c>
      <c r="I19">
        <v>1339.1586059643037</v>
      </c>
      <c r="J19">
        <v>103.75426744136814</v>
      </c>
      <c r="K19">
        <v>3601.009</v>
      </c>
      <c r="L19">
        <v>0</v>
      </c>
      <c r="M19">
        <v>0</v>
      </c>
      <c r="N19">
        <v>78.816088459483382</v>
      </c>
      <c r="O19">
        <v>24.938178981884768</v>
      </c>
      <c r="P19">
        <v>107.79787016615427</v>
      </c>
      <c r="Q19">
        <v>3600.0680000000002</v>
      </c>
      <c r="R19">
        <v>0</v>
      </c>
      <c r="S19">
        <v>0</v>
      </c>
      <c r="T19">
        <v>78.42410957568562</v>
      </c>
      <c r="U19">
        <v>29.373760590468656</v>
      </c>
      <c r="V19">
        <v>130.67448008437844</v>
      </c>
      <c r="W19">
        <v>3600.4749999999999</v>
      </c>
      <c r="X19">
        <v>0</v>
      </c>
      <c r="Y19">
        <v>0</v>
      </c>
      <c r="Z19">
        <v>76.580491970573249</v>
      </c>
      <c r="AA19">
        <v>54.09398811380521</v>
      </c>
    </row>
    <row r="20" spans="1:27" x14ac:dyDescent="0.3">
      <c r="A20" t="s">
        <v>23</v>
      </c>
      <c r="B20" t="s">
        <v>24</v>
      </c>
      <c r="C20">
        <v>3</v>
      </c>
      <c r="D20">
        <v>1361.0478745513392</v>
      </c>
      <c r="E20">
        <v>3607.9450000000002</v>
      </c>
      <c r="F20">
        <v>0.99625957088498274</v>
      </c>
      <c r="G20">
        <v>60</v>
      </c>
      <c r="H20">
        <v>98.488881387494629</v>
      </c>
      <c r="I20">
        <v>1202.5589931638447</v>
      </c>
      <c r="J20">
        <v>96.89826578643283</v>
      </c>
      <c r="K20">
        <v>3600.3589999999999</v>
      </c>
      <c r="L20">
        <v>0</v>
      </c>
      <c r="M20">
        <v>0</v>
      </c>
      <c r="N20">
        <v>73.562422332724481</v>
      </c>
      <c r="O20">
        <v>23.33584345370835</v>
      </c>
      <c r="P20">
        <v>100.47303179399104</v>
      </c>
      <c r="Q20">
        <v>3600.8420000000001</v>
      </c>
      <c r="R20">
        <v>0</v>
      </c>
      <c r="S20">
        <v>0</v>
      </c>
      <c r="T20">
        <v>72.977217810111867</v>
      </c>
      <c r="U20">
        <v>27.49581398387917</v>
      </c>
      <c r="V20">
        <v>139.7686740833378</v>
      </c>
      <c r="W20">
        <v>3600.4780000000001</v>
      </c>
      <c r="X20">
        <v>0</v>
      </c>
      <c r="Y20">
        <v>0</v>
      </c>
      <c r="Z20">
        <v>71.636726964424369</v>
      </c>
      <c r="AA20">
        <v>68.13194711891343</v>
      </c>
    </row>
    <row r="21" spans="1:27" x14ac:dyDescent="0.3">
      <c r="A21" t="s">
        <v>23</v>
      </c>
      <c r="B21" t="s">
        <v>24</v>
      </c>
      <c r="C21">
        <v>4</v>
      </c>
      <c r="D21">
        <v>1390.0675692228908</v>
      </c>
      <c r="E21">
        <v>3608.1179999999999</v>
      </c>
      <c r="F21">
        <v>0.99647376277875233</v>
      </c>
      <c r="G21">
        <v>60</v>
      </c>
      <c r="H21">
        <v>107.36080804740371</v>
      </c>
      <c r="I21">
        <v>1222.7067611754871</v>
      </c>
      <c r="J21">
        <v>99.010361511311643</v>
      </c>
      <c r="K21">
        <v>3600.2260000000001</v>
      </c>
      <c r="L21">
        <v>0</v>
      </c>
      <c r="M21">
        <v>0</v>
      </c>
      <c r="N21">
        <v>79.8103226161154</v>
      </c>
      <c r="O21">
        <v>19.200038895196247</v>
      </c>
      <c r="P21">
        <v>108.49097012380952</v>
      </c>
      <c r="Q21">
        <v>3600.0680000000002</v>
      </c>
      <c r="R21">
        <v>0</v>
      </c>
      <c r="S21">
        <v>0</v>
      </c>
      <c r="T21">
        <v>78.508298651571593</v>
      </c>
      <c r="U21">
        <v>29.982671472237932</v>
      </c>
      <c r="V21">
        <v>153.50249196774706</v>
      </c>
      <c r="W21">
        <v>3600.4569999999999</v>
      </c>
      <c r="X21">
        <v>0</v>
      </c>
      <c r="Y21">
        <v>0</v>
      </c>
      <c r="Z21">
        <v>77.431596868460915</v>
      </c>
      <c r="AA21">
        <v>76.070895099286147</v>
      </c>
    </row>
    <row r="22" spans="1:27" x14ac:dyDescent="0.3">
      <c r="A22" t="s">
        <v>23</v>
      </c>
      <c r="B22" t="s">
        <v>24</v>
      </c>
      <c r="C22">
        <v>5</v>
      </c>
      <c r="D22">
        <v>1279.3915889633035</v>
      </c>
      <c r="E22">
        <v>3609.25</v>
      </c>
      <c r="F22">
        <v>0.99585741574248532</v>
      </c>
      <c r="G22">
        <v>20</v>
      </c>
      <c r="H22">
        <v>114.58766717643908</v>
      </c>
      <c r="I22">
        <v>1144.8039217868645</v>
      </c>
      <c r="J22">
        <v>107.9504301020327</v>
      </c>
      <c r="K22">
        <v>3600.366</v>
      </c>
      <c r="L22">
        <v>0</v>
      </c>
      <c r="M22">
        <v>0</v>
      </c>
      <c r="N22">
        <v>81.530307769819515</v>
      </c>
      <c r="O22">
        <v>26.420122332213175</v>
      </c>
      <c r="P22">
        <v>120.55877081221855</v>
      </c>
      <c r="Q22">
        <v>3600.0889999999999</v>
      </c>
      <c r="R22">
        <v>0</v>
      </c>
      <c r="S22">
        <v>0</v>
      </c>
      <c r="T22">
        <v>81.53631080352605</v>
      </c>
      <c r="U22">
        <v>39.022460008692505</v>
      </c>
      <c r="V22">
        <v>150.38724903240183</v>
      </c>
      <c r="W22">
        <v>3600.4430000000002</v>
      </c>
      <c r="X22">
        <v>0</v>
      </c>
      <c r="Y22">
        <v>0</v>
      </c>
      <c r="Z22">
        <v>79.96261832665941</v>
      </c>
      <c r="AA22">
        <v>70.424630705742416</v>
      </c>
    </row>
    <row r="23" spans="1:27" x14ac:dyDescent="0.3">
      <c r="A23" t="s">
        <v>26</v>
      </c>
      <c r="B23" t="s">
        <v>27</v>
      </c>
      <c r="C23">
        <v>1</v>
      </c>
      <c r="D23">
        <v>1557.924887939429</v>
      </c>
      <c r="E23">
        <v>3617.569</v>
      </c>
      <c r="F23">
        <v>0.99597098123196848</v>
      </c>
      <c r="G23">
        <v>40</v>
      </c>
      <c r="H23">
        <v>147.10797655190274</v>
      </c>
      <c r="I23">
        <v>1370.8169113875263</v>
      </c>
      <c r="J23">
        <v>112.44468498811091</v>
      </c>
      <c r="K23">
        <v>3600.922</v>
      </c>
      <c r="L23">
        <v>0</v>
      </c>
      <c r="M23">
        <v>0</v>
      </c>
      <c r="N23">
        <v>100.28450863895239</v>
      </c>
      <c r="O23">
        <v>12.160176349158526</v>
      </c>
      <c r="P23">
        <v>115.84930425941576</v>
      </c>
      <c r="Q23">
        <v>3600.2060000000001</v>
      </c>
      <c r="R23">
        <v>0</v>
      </c>
      <c r="S23">
        <v>0</v>
      </c>
      <c r="T23">
        <v>100.21311767670694</v>
      </c>
      <c r="U23">
        <v>15.636186582708813</v>
      </c>
      <c r="V23">
        <v>161.43302259709776</v>
      </c>
      <c r="W23">
        <v>3600.7280000000001</v>
      </c>
      <c r="X23">
        <v>0</v>
      </c>
      <c r="Y23">
        <v>0</v>
      </c>
      <c r="Z23">
        <v>97.59383167168437</v>
      </c>
      <c r="AA23">
        <v>63.839190925413376</v>
      </c>
    </row>
    <row r="24" spans="1:27" x14ac:dyDescent="0.3">
      <c r="A24" t="s">
        <v>26</v>
      </c>
      <c r="B24" t="s">
        <v>27</v>
      </c>
      <c r="C24">
        <v>2</v>
      </c>
      <c r="D24">
        <v>2042.2429125479177</v>
      </c>
      <c r="E24">
        <v>3617.3939999999998</v>
      </c>
      <c r="F24">
        <v>0.9957398768016934</v>
      </c>
      <c r="G24">
        <v>60</v>
      </c>
      <c r="H24">
        <v>163.24687769616571</v>
      </c>
      <c r="I24">
        <v>1818.996034851752</v>
      </c>
      <c r="J24">
        <v>136.135364351471</v>
      </c>
      <c r="K24">
        <v>3600.1</v>
      </c>
      <c r="L24">
        <v>0</v>
      </c>
      <c r="M24">
        <v>0</v>
      </c>
      <c r="N24">
        <v>101.89227368480655</v>
      </c>
      <c r="O24">
        <v>34.243090666664436</v>
      </c>
      <c r="P24">
        <v>140.0327761318037</v>
      </c>
      <c r="Q24">
        <v>3600.1030000000001</v>
      </c>
      <c r="R24">
        <v>0</v>
      </c>
      <c r="S24">
        <v>0</v>
      </c>
      <c r="T24">
        <v>102.2796088793251</v>
      </c>
      <c r="U24">
        <v>37.753167252478619</v>
      </c>
      <c r="V24">
        <v>192.30465255029085</v>
      </c>
      <c r="W24">
        <v>3601.0169999999998</v>
      </c>
      <c r="X24">
        <v>0</v>
      </c>
      <c r="Y24">
        <v>0</v>
      </c>
      <c r="Z24">
        <v>99.811957174152866</v>
      </c>
      <c r="AA24">
        <v>92.492695376137988</v>
      </c>
    </row>
    <row r="25" spans="1:27" x14ac:dyDescent="0.3">
      <c r="A25" t="s">
        <v>26</v>
      </c>
      <c r="B25" t="s">
        <v>27</v>
      </c>
      <c r="C25">
        <v>3</v>
      </c>
      <c r="D25">
        <v>2014.4736320687407</v>
      </c>
      <c r="E25">
        <v>3615.9169999999999</v>
      </c>
      <c r="F25">
        <v>0.99614347215230492</v>
      </c>
      <c r="G25">
        <v>60</v>
      </c>
      <c r="H25">
        <v>161.64228277083004</v>
      </c>
      <c r="I25">
        <v>1792.8313492979107</v>
      </c>
      <c r="J25">
        <v>112.49228066462901</v>
      </c>
      <c r="K25">
        <v>3600.2069999999999</v>
      </c>
      <c r="L25">
        <v>0</v>
      </c>
      <c r="M25">
        <v>0</v>
      </c>
      <c r="N25">
        <v>102.01021510909347</v>
      </c>
      <c r="O25">
        <v>10.482065555535547</v>
      </c>
      <c r="P25">
        <v>116.44529368534347</v>
      </c>
      <c r="Q25">
        <v>3600.4319999999998</v>
      </c>
      <c r="R25">
        <v>0</v>
      </c>
      <c r="S25">
        <v>0</v>
      </c>
      <c r="T25">
        <v>101.11559179310723</v>
      </c>
      <c r="U25">
        <v>15.32970189223624</v>
      </c>
      <c r="V25">
        <v>148.07209015376804</v>
      </c>
      <c r="W25">
        <v>3600.8310000000001</v>
      </c>
      <c r="X25">
        <v>0</v>
      </c>
      <c r="Y25">
        <v>0</v>
      </c>
      <c r="Z25">
        <v>99.424783552375033</v>
      </c>
      <c r="AA25">
        <v>48.647306601393005</v>
      </c>
    </row>
    <row r="26" spans="1:27" x14ac:dyDescent="0.3">
      <c r="A26" t="s">
        <v>26</v>
      </c>
      <c r="B26" t="s">
        <v>27</v>
      </c>
      <c r="C26">
        <v>4</v>
      </c>
      <c r="D26">
        <v>1918.4566434140004</v>
      </c>
      <c r="E26">
        <v>3617.0039999999999</v>
      </c>
      <c r="F26">
        <v>0.99596924402628317</v>
      </c>
      <c r="G26">
        <v>20</v>
      </c>
      <c r="H26">
        <v>149.10241161126055</v>
      </c>
      <c r="I26">
        <v>1749.3542318027398</v>
      </c>
      <c r="J26">
        <v>128.2387680792381</v>
      </c>
      <c r="K26">
        <v>3600.8919999999998</v>
      </c>
      <c r="L26">
        <v>0</v>
      </c>
      <c r="M26">
        <v>0</v>
      </c>
      <c r="N26">
        <v>98.453048122819695</v>
      </c>
      <c r="O26">
        <v>29.785719956418404</v>
      </c>
      <c r="P26">
        <v>133.51281268459496</v>
      </c>
      <c r="Q26">
        <v>3600.61</v>
      </c>
      <c r="R26">
        <v>0</v>
      </c>
      <c r="S26">
        <v>0</v>
      </c>
      <c r="T26">
        <v>98.362805109942812</v>
      </c>
      <c r="U26">
        <v>35.150007574652143</v>
      </c>
      <c r="V26">
        <v>172.5957766878399</v>
      </c>
      <c r="W26">
        <v>3600.8</v>
      </c>
      <c r="X26">
        <v>0</v>
      </c>
      <c r="Y26">
        <v>0</v>
      </c>
      <c r="Z26">
        <v>95.949509141247844</v>
      </c>
      <c r="AA26">
        <v>76.646267546592057</v>
      </c>
    </row>
    <row r="27" spans="1:27" x14ac:dyDescent="0.3">
      <c r="A27" t="s">
        <v>26</v>
      </c>
      <c r="B27" t="s">
        <v>27</v>
      </c>
      <c r="C27">
        <v>5</v>
      </c>
      <c r="D27">
        <v>2296.9963547158604</v>
      </c>
      <c r="E27">
        <v>3617.3049999999998</v>
      </c>
      <c r="F27">
        <v>0.99593425979891625</v>
      </c>
      <c r="G27">
        <v>60</v>
      </c>
      <c r="H27">
        <v>187.70166800060133</v>
      </c>
      <c r="I27">
        <v>2049.2946867152591</v>
      </c>
      <c r="J27">
        <v>164.89065281409654</v>
      </c>
      <c r="K27">
        <v>3600.3919999999998</v>
      </c>
      <c r="L27">
        <v>0</v>
      </c>
      <c r="M27">
        <v>0</v>
      </c>
      <c r="N27">
        <v>119.74416709403499</v>
      </c>
      <c r="O27">
        <v>45.146485720061563</v>
      </c>
      <c r="P27">
        <v>163.40759993350167</v>
      </c>
      <c r="Q27">
        <v>3600.672</v>
      </c>
      <c r="R27">
        <v>0</v>
      </c>
      <c r="S27">
        <v>0</v>
      </c>
      <c r="T27">
        <v>118.81462660829548</v>
      </c>
      <c r="U27">
        <v>44.592973325206202</v>
      </c>
      <c r="V27">
        <v>221.23502350238041</v>
      </c>
      <c r="W27">
        <v>3600.944</v>
      </c>
      <c r="X27">
        <v>0</v>
      </c>
      <c r="Y27">
        <v>0</v>
      </c>
      <c r="Z27">
        <v>117.02118149534384</v>
      </c>
      <c r="AA27">
        <v>104.21384200703658</v>
      </c>
    </row>
    <row r="28" spans="1:27" x14ac:dyDescent="0.3">
      <c r="A28" t="s">
        <v>20</v>
      </c>
      <c r="B28" t="s">
        <v>19</v>
      </c>
      <c r="C28">
        <v>1</v>
      </c>
      <c r="D28">
        <v>3871.6275880056887</v>
      </c>
      <c r="E28">
        <v>3605.31</v>
      </c>
      <c r="F28">
        <v>0.98971554215165969</v>
      </c>
      <c r="G28">
        <v>40</v>
      </c>
      <c r="H28">
        <v>154.5313460829725</v>
      </c>
      <c r="I28">
        <v>3677.0962419227162</v>
      </c>
      <c r="J28">
        <v>225.10988662137976</v>
      </c>
      <c r="K28">
        <v>3602.3449999999998</v>
      </c>
      <c r="L28">
        <v>0</v>
      </c>
      <c r="M28">
        <v>0</v>
      </c>
      <c r="N28">
        <v>131.37119990311419</v>
      </c>
      <c r="O28">
        <v>93.738686718265569</v>
      </c>
      <c r="P28">
        <v>236.92127413431751</v>
      </c>
      <c r="Q28">
        <v>3601.8090000000002</v>
      </c>
      <c r="R28">
        <v>0</v>
      </c>
      <c r="S28">
        <v>0</v>
      </c>
      <c r="T28">
        <v>131.51047091762575</v>
      </c>
      <c r="U28">
        <v>105.41080321669176</v>
      </c>
      <c r="V28">
        <v>319.53606947777735</v>
      </c>
      <c r="W28">
        <v>3600.692</v>
      </c>
      <c r="X28">
        <v>0</v>
      </c>
      <c r="Y28">
        <v>0</v>
      </c>
      <c r="Z28">
        <v>128.35239875554862</v>
      </c>
      <c r="AA28">
        <v>191.18367072222873</v>
      </c>
    </row>
    <row r="29" spans="1:27" x14ac:dyDescent="0.3">
      <c r="A29" t="s">
        <v>20</v>
      </c>
      <c r="B29" t="s">
        <v>19</v>
      </c>
      <c r="C29">
        <v>2</v>
      </c>
      <c r="D29">
        <v>300.12227220326088</v>
      </c>
      <c r="E29">
        <v>3605.027</v>
      </c>
      <c r="F29">
        <v>0.49660646416000853</v>
      </c>
      <c r="G29">
        <v>0</v>
      </c>
      <c r="H29">
        <v>147.28174601961018</v>
      </c>
      <c r="I29">
        <v>152.8405261836507</v>
      </c>
      <c r="J29">
        <v>238.98936419206723</v>
      </c>
      <c r="K29">
        <v>3601.4760000000001</v>
      </c>
      <c r="L29">
        <v>0</v>
      </c>
      <c r="M29">
        <v>0</v>
      </c>
      <c r="N29">
        <v>150.36788874435553</v>
      </c>
      <c r="O29">
        <v>88.621475447711688</v>
      </c>
      <c r="P29">
        <v>241.10929739884776</v>
      </c>
      <c r="Q29">
        <v>3600.9349999999999</v>
      </c>
      <c r="R29">
        <v>0</v>
      </c>
      <c r="S29">
        <v>0</v>
      </c>
      <c r="T29">
        <v>149.99292507278821</v>
      </c>
      <c r="U29">
        <v>91.116372326059548</v>
      </c>
      <c r="V29">
        <v>331.50048436174211</v>
      </c>
      <c r="W29">
        <v>3600.6880000000001</v>
      </c>
      <c r="X29">
        <v>0</v>
      </c>
      <c r="Y29">
        <v>0</v>
      </c>
      <c r="Z29">
        <v>143.97502879242211</v>
      </c>
      <c r="AA29">
        <v>187.52545556932</v>
      </c>
    </row>
    <row r="30" spans="1:27" x14ac:dyDescent="0.3">
      <c r="A30" t="s">
        <v>20</v>
      </c>
      <c r="B30" t="s">
        <v>19</v>
      </c>
      <c r="C30">
        <v>3</v>
      </c>
      <c r="D30">
        <v>119.32010848375801</v>
      </c>
      <c r="E30">
        <v>3605.2429999999999</v>
      </c>
      <c r="F30">
        <v>8.0908802167131588E-2</v>
      </c>
      <c r="G30">
        <v>0</v>
      </c>
      <c r="H30">
        <v>104.27322428442463</v>
      </c>
      <c r="I30">
        <v>15.04688419933338</v>
      </c>
      <c r="J30">
        <v>123.24506749593867</v>
      </c>
      <c r="K30">
        <v>3600.4070000000002</v>
      </c>
      <c r="L30">
        <v>0</v>
      </c>
      <c r="M30">
        <v>0</v>
      </c>
      <c r="N30">
        <v>105.57137363153223</v>
      </c>
      <c r="O30">
        <v>17.673693864406445</v>
      </c>
      <c r="P30">
        <v>123.11756293151566</v>
      </c>
      <c r="Q30">
        <v>3600.68</v>
      </c>
      <c r="R30">
        <v>0</v>
      </c>
      <c r="S30">
        <v>0</v>
      </c>
      <c r="T30">
        <v>104.93860512907314</v>
      </c>
      <c r="U30">
        <v>18.178957802442522</v>
      </c>
      <c r="V30">
        <v>162.12217431841853</v>
      </c>
      <c r="W30">
        <v>3600.931</v>
      </c>
      <c r="X30">
        <v>0</v>
      </c>
      <c r="Y30">
        <v>0</v>
      </c>
      <c r="Z30">
        <v>102.74181030375101</v>
      </c>
      <c r="AA30">
        <v>59.380364014667528</v>
      </c>
    </row>
    <row r="31" spans="1:27" x14ac:dyDescent="0.3">
      <c r="A31" t="s">
        <v>20</v>
      </c>
      <c r="B31" t="s">
        <v>19</v>
      </c>
      <c r="C31">
        <v>4</v>
      </c>
      <c r="D31">
        <v>123.83911959795853</v>
      </c>
      <c r="E31">
        <v>3606.4789999999998</v>
      </c>
      <c r="F31">
        <v>7.9172236703176774E-2</v>
      </c>
      <c r="G31">
        <v>0</v>
      </c>
      <c r="H31">
        <v>105.62305901234075</v>
      </c>
      <c r="I31">
        <v>18.216060585617786</v>
      </c>
      <c r="J31">
        <v>127.98914761587699</v>
      </c>
      <c r="K31">
        <v>3600.2559999999999</v>
      </c>
      <c r="L31">
        <v>0</v>
      </c>
      <c r="M31">
        <v>0</v>
      </c>
      <c r="N31">
        <v>107.16815862172251</v>
      </c>
      <c r="O31">
        <v>20.820988994154483</v>
      </c>
      <c r="P31">
        <v>128.742257434697</v>
      </c>
      <c r="Q31">
        <v>3600.1419999999998</v>
      </c>
      <c r="R31">
        <v>0</v>
      </c>
      <c r="S31">
        <v>0</v>
      </c>
      <c r="T31">
        <v>107.92126844054252</v>
      </c>
      <c r="U31">
        <v>20.820988994154483</v>
      </c>
      <c r="V31">
        <v>143.49692738316031</v>
      </c>
      <c r="W31">
        <v>3600.7139999999999</v>
      </c>
      <c r="X31">
        <v>0</v>
      </c>
      <c r="Y31">
        <v>0</v>
      </c>
      <c r="Z31">
        <v>104.45987780338804</v>
      </c>
      <c r="AA31">
        <v>39.037049579772273</v>
      </c>
    </row>
    <row r="32" spans="1:27" x14ac:dyDescent="0.3">
      <c r="A32" t="s">
        <v>20</v>
      </c>
      <c r="B32" t="s">
        <v>19</v>
      </c>
      <c r="C32">
        <v>5</v>
      </c>
      <c r="D32">
        <v>3862.8415668764387</v>
      </c>
      <c r="E32">
        <v>3605.5889999999999</v>
      </c>
      <c r="F32">
        <v>0.98817092856988731</v>
      </c>
      <c r="G32">
        <v>80</v>
      </c>
      <c r="H32">
        <v>176.7606935916231</v>
      </c>
      <c r="I32">
        <v>3606.0808732848154</v>
      </c>
      <c r="J32">
        <v>216.13564150369564</v>
      </c>
      <c r="K32">
        <v>3600.8249999999998</v>
      </c>
      <c r="L32">
        <v>0</v>
      </c>
      <c r="M32">
        <v>0</v>
      </c>
      <c r="N32">
        <v>151.98731525637368</v>
      </c>
      <c r="O32">
        <v>64.148326247321961</v>
      </c>
      <c r="P32">
        <v>216.38221847062465</v>
      </c>
      <c r="Q32">
        <v>3602.123</v>
      </c>
      <c r="R32">
        <v>0</v>
      </c>
      <c r="S32">
        <v>0</v>
      </c>
      <c r="T32">
        <v>152.23389222330269</v>
      </c>
      <c r="U32">
        <v>64.148326247321961</v>
      </c>
      <c r="V32">
        <v>301.28076674069325</v>
      </c>
      <c r="W32">
        <v>3600.73</v>
      </c>
      <c r="X32">
        <v>0</v>
      </c>
      <c r="Y32">
        <v>0</v>
      </c>
      <c r="Z32">
        <v>147.06975572488227</v>
      </c>
      <c r="AA32">
        <v>154.21101101581101</v>
      </c>
    </row>
    <row r="33" spans="1:27" x14ac:dyDescent="0.3">
      <c r="A33" t="s">
        <v>25</v>
      </c>
      <c r="B33" t="s">
        <v>24</v>
      </c>
      <c r="C33">
        <v>1</v>
      </c>
      <c r="J33">
        <v>525.2524278292135</v>
      </c>
      <c r="K33">
        <v>3600.2510000000002</v>
      </c>
      <c r="L33">
        <v>0</v>
      </c>
      <c r="M33">
        <v>0</v>
      </c>
      <c r="N33">
        <v>414.6421025135632</v>
      </c>
      <c r="O33">
        <v>110.61032531565033</v>
      </c>
      <c r="P33">
        <v>617.15626248967908</v>
      </c>
      <c r="Q33">
        <v>3600.951</v>
      </c>
      <c r="R33">
        <v>0</v>
      </c>
      <c r="S33">
        <v>0</v>
      </c>
      <c r="T33">
        <v>416.24294195602221</v>
      </c>
      <c r="U33">
        <v>200.9133205336569</v>
      </c>
      <c r="V33">
        <v>669.02320263829938</v>
      </c>
      <c r="W33">
        <v>3603.4569999999999</v>
      </c>
      <c r="X33">
        <v>0</v>
      </c>
      <c r="Y33">
        <v>0</v>
      </c>
      <c r="Z33">
        <v>417.48696783994535</v>
      </c>
      <c r="AA33">
        <v>251.53623479835403</v>
      </c>
    </row>
    <row r="34" spans="1:27" x14ac:dyDescent="0.3">
      <c r="A34" t="s">
        <v>25</v>
      </c>
      <c r="B34" t="s">
        <v>24</v>
      </c>
      <c r="C34">
        <v>2</v>
      </c>
      <c r="J34">
        <v>630.57472931700363</v>
      </c>
      <c r="K34">
        <v>3600.527</v>
      </c>
      <c r="L34">
        <v>0</v>
      </c>
      <c r="M34">
        <v>0</v>
      </c>
      <c r="N34">
        <v>415.83023526300724</v>
      </c>
      <c r="O34">
        <v>214.74449405399639</v>
      </c>
      <c r="P34">
        <v>714.88367914656374</v>
      </c>
      <c r="Q34">
        <v>3607.0819999999999</v>
      </c>
      <c r="R34">
        <v>0</v>
      </c>
      <c r="S34">
        <v>0</v>
      </c>
      <c r="T34">
        <v>427.43568971502657</v>
      </c>
      <c r="U34">
        <v>287.44798943153717</v>
      </c>
      <c r="V34">
        <v>875.64707763803267</v>
      </c>
      <c r="W34">
        <v>3603.3449999999998</v>
      </c>
      <c r="X34">
        <v>0</v>
      </c>
      <c r="Y34">
        <v>0</v>
      </c>
      <c r="Z34">
        <v>415.63913476581217</v>
      </c>
      <c r="AA34">
        <v>460.00794287222044</v>
      </c>
    </row>
    <row r="35" spans="1:27" x14ac:dyDescent="0.3">
      <c r="A35" t="s">
        <v>25</v>
      </c>
      <c r="B35" t="s">
        <v>24</v>
      </c>
      <c r="C35">
        <v>3</v>
      </c>
      <c r="J35">
        <v>469.27501128934068</v>
      </c>
      <c r="K35">
        <v>3601.2370000000001</v>
      </c>
      <c r="L35">
        <v>0</v>
      </c>
      <c r="M35">
        <v>0</v>
      </c>
      <c r="N35">
        <v>400.49537908950822</v>
      </c>
      <c r="O35">
        <v>68.779632199832463</v>
      </c>
      <c r="P35">
        <v>528.17197590094327</v>
      </c>
      <c r="Q35">
        <v>3601.277</v>
      </c>
      <c r="R35">
        <v>0</v>
      </c>
      <c r="S35">
        <v>0</v>
      </c>
      <c r="T35">
        <v>402.51777446100402</v>
      </c>
      <c r="U35">
        <v>125.65420143993923</v>
      </c>
      <c r="V35">
        <v>615.18325638420697</v>
      </c>
      <c r="W35">
        <v>3604.0259999999998</v>
      </c>
      <c r="X35">
        <v>0</v>
      </c>
      <c r="Y35">
        <v>0</v>
      </c>
      <c r="Z35">
        <v>399.18176250294454</v>
      </c>
      <c r="AA35">
        <v>216.00149388126243</v>
      </c>
    </row>
    <row r="36" spans="1:27" x14ac:dyDescent="0.3">
      <c r="A36" t="s">
        <v>25</v>
      </c>
      <c r="B36" t="s">
        <v>24</v>
      </c>
      <c r="C36">
        <v>4</v>
      </c>
      <c r="J36">
        <v>677.61251058916673</v>
      </c>
      <c r="K36">
        <v>3600.9369999999999</v>
      </c>
      <c r="L36">
        <v>0</v>
      </c>
      <c r="M36">
        <v>0</v>
      </c>
      <c r="N36">
        <v>430.00117910446539</v>
      </c>
      <c r="O36">
        <v>247.61133148470131</v>
      </c>
      <c r="P36">
        <v>751.40585432762532</v>
      </c>
      <c r="Q36">
        <v>3612.9830000000002</v>
      </c>
      <c r="R36">
        <v>0</v>
      </c>
      <c r="S36">
        <v>0</v>
      </c>
      <c r="T36">
        <v>436.24457659678427</v>
      </c>
      <c r="U36">
        <v>315.16127773084105</v>
      </c>
      <c r="V36">
        <v>872.76363796921987</v>
      </c>
      <c r="W36">
        <v>3603.6559999999999</v>
      </c>
      <c r="X36">
        <v>0</v>
      </c>
      <c r="Y36">
        <v>0</v>
      </c>
      <c r="Z36">
        <v>432.56210102228408</v>
      </c>
      <c r="AA36">
        <v>440.20153694693579</v>
      </c>
    </row>
    <row r="37" spans="1:27" x14ac:dyDescent="0.3">
      <c r="A37" t="s">
        <v>25</v>
      </c>
      <c r="B37" t="s">
        <v>24</v>
      </c>
      <c r="C37">
        <v>5</v>
      </c>
      <c r="J37">
        <v>533.85078008975802</v>
      </c>
      <c r="K37">
        <v>3606.3710000000001</v>
      </c>
      <c r="L37">
        <v>0</v>
      </c>
      <c r="M37">
        <v>0</v>
      </c>
      <c r="N37">
        <v>403.20188088629351</v>
      </c>
      <c r="O37">
        <v>130.64889920346448</v>
      </c>
      <c r="P37">
        <v>601.77079650144526</v>
      </c>
      <c r="Q37">
        <v>3601.739</v>
      </c>
      <c r="R37">
        <v>0</v>
      </c>
      <c r="S37">
        <v>0</v>
      </c>
      <c r="T37">
        <v>403.07124966020757</v>
      </c>
      <c r="U37">
        <v>198.69954684123769</v>
      </c>
      <c r="V37">
        <v>673.31434578204039</v>
      </c>
      <c r="W37">
        <v>3603.4789999999998</v>
      </c>
      <c r="X37">
        <v>0</v>
      </c>
      <c r="Y37">
        <v>0</v>
      </c>
      <c r="Z37">
        <v>401.50250696298639</v>
      </c>
      <c r="AA37">
        <v>271.81183881905395</v>
      </c>
    </row>
    <row r="38" spans="1:27" x14ac:dyDescent="0.3">
      <c r="A38" t="s">
        <v>28</v>
      </c>
      <c r="B38" t="s">
        <v>29</v>
      </c>
      <c r="C38">
        <v>1</v>
      </c>
      <c r="J38">
        <v>1208.5581307509215</v>
      </c>
      <c r="K38">
        <v>3602.0920000000001</v>
      </c>
      <c r="L38">
        <v>0</v>
      </c>
      <c r="M38">
        <v>0</v>
      </c>
      <c r="N38">
        <v>756.84881116341307</v>
      </c>
      <c r="O38">
        <v>451.7093195875085</v>
      </c>
      <c r="P38">
        <v>1208.5581307509215</v>
      </c>
      <c r="Q38">
        <v>3601.0349999999999</v>
      </c>
      <c r="R38">
        <v>0</v>
      </c>
      <c r="S38">
        <v>0</v>
      </c>
      <c r="T38">
        <v>756.84881116341307</v>
      </c>
      <c r="U38">
        <v>451.7093195875085</v>
      </c>
      <c r="V38">
        <v>1208.5581307509215</v>
      </c>
      <c r="W38">
        <v>3600.922</v>
      </c>
      <c r="X38">
        <v>0</v>
      </c>
      <c r="Y38">
        <v>0</v>
      </c>
      <c r="Z38">
        <v>756.84881116341307</v>
      </c>
      <c r="AA38">
        <v>451.7093195875085</v>
      </c>
    </row>
    <row r="39" spans="1:27" x14ac:dyDescent="0.3">
      <c r="A39" t="s">
        <v>28</v>
      </c>
      <c r="B39" t="s">
        <v>29</v>
      </c>
      <c r="C39">
        <v>2</v>
      </c>
      <c r="J39">
        <v>1186.7271707572488</v>
      </c>
      <c r="K39">
        <v>3601.462</v>
      </c>
      <c r="L39">
        <v>0</v>
      </c>
      <c r="M39">
        <v>0</v>
      </c>
      <c r="N39">
        <v>764.63315919710328</v>
      </c>
      <c r="O39">
        <v>422.09401156014553</v>
      </c>
      <c r="P39">
        <v>1343.8725247922441</v>
      </c>
      <c r="Q39">
        <v>3660.9349999999999</v>
      </c>
      <c r="R39">
        <v>0</v>
      </c>
      <c r="S39">
        <v>0</v>
      </c>
      <c r="T39">
        <v>770.74229267166606</v>
      </c>
      <c r="U39">
        <v>573.13023212057806</v>
      </c>
      <c r="V39">
        <v>1375.2095669217042</v>
      </c>
      <c r="W39">
        <v>3609.5590000000002</v>
      </c>
      <c r="X39">
        <v>0</v>
      </c>
      <c r="Y39">
        <v>0</v>
      </c>
      <c r="Z39">
        <v>766.26205515306231</v>
      </c>
      <c r="AA39">
        <v>608.94751176864179</v>
      </c>
    </row>
    <row r="40" spans="1:27" x14ac:dyDescent="0.3">
      <c r="A40" t="s">
        <v>28</v>
      </c>
      <c r="B40" t="s">
        <v>29</v>
      </c>
      <c r="C40">
        <v>3</v>
      </c>
      <c r="J40">
        <v>1031.6821416486048</v>
      </c>
      <c r="K40">
        <v>3601.6889999999999</v>
      </c>
      <c r="L40">
        <v>0</v>
      </c>
      <c r="M40">
        <v>0</v>
      </c>
      <c r="N40">
        <v>736.77641220325529</v>
      </c>
      <c r="O40">
        <v>294.90572944534955</v>
      </c>
      <c r="P40">
        <v>1179.3138144186501</v>
      </c>
      <c r="Q40">
        <v>3600.8209999999999</v>
      </c>
      <c r="R40">
        <v>0</v>
      </c>
      <c r="S40">
        <v>0</v>
      </c>
      <c r="T40">
        <v>735.26264368171007</v>
      </c>
      <c r="U40">
        <v>444.05117073693992</v>
      </c>
      <c r="V40">
        <v>1203.5269269478968</v>
      </c>
      <c r="W40">
        <v>3609.7049999999999</v>
      </c>
      <c r="X40">
        <v>0</v>
      </c>
      <c r="Y40">
        <v>0</v>
      </c>
      <c r="Z40">
        <v>737.64101394292356</v>
      </c>
      <c r="AA40">
        <v>465.88591300497313</v>
      </c>
    </row>
    <row r="41" spans="1:27" x14ac:dyDescent="0.3">
      <c r="A41" t="s">
        <v>28</v>
      </c>
      <c r="B41" t="s">
        <v>29</v>
      </c>
      <c r="C41">
        <v>4</v>
      </c>
      <c r="J41">
        <v>1103.9327734666153</v>
      </c>
      <c r="K41">
        <v>3600.875</v>
      </c>
      <c r="L41">
        <v>0</v>
      </c>
      <c r="M41">
        <v>0</v>
      </c>
      <c r="N41">
        <v>771.0058414329003</v>
      </c>
      <c r="O41">
        <v>332.9269320337151</v>
      </c>
      <c r="P41">
        <v>1204.6246490867941</v>
      </c>
      <c r="Q41">
        <v>3603.5540000000001</v>
      </c>
      <c r="R41">
        <v>0</v>
      </c>
      <c r="S41">
        <v>0</v>
      </c>
      <c r="T41">
        <v>774.7172429114047</v>
      </c>
      <c r="U41">
        <v>429.90740617538938</v>
      </c>
      <c r="V41">
        <v>1255.0435796468382</v>
      </c>
      <c r="W41">
        <v>3610.0309999999999</v>
      </c>
      <c r="X41">
        <v>0</v>
      </c>
      <c r="Y41">
        <v>0</v>
      </c>
      <c r="Z41">
        <v>771.05869831248162</v>
      </c>
      <c r="AA41">
        <v>483.9848813343566</v>
      </c>
    </row>
    <row r="42" spans="1:27" x14ac:dyDescent="0.3">
      <c r="A42" t="s">
        <v>28</v>
      </c>
      <c r="B42" t="s">
        <v>29</v>
      </c>
      <c r="C42">
        <v>5</v>
      </c>
      <c r="J42">
        <v>1192.9265569658357</v>
      </c>
      <c r="K42">
        <v>3602.0509999999999</v>
      </c>
      <c r="L42">
        <v>0</v>
      </c>
      <c r="M42">
        <v>0</v>
      </c>
      <c r="N42">
        <v>776.4858417358372</v>
      </c>
      <c r="O42">
        <v>416.4407152299986</v>
      </c>
      <c r="P42">
        <v>1279.1086280841514</v>
      </c>
      <c r="Q42">
        <v>3608.819</v>
      </c>
      <c r="R42">
        <v>0</v>
      </c>
      <c r="S42">
        <v>0</v>
      </c>
      <c r="T42">
        <v>779.92278037239578</v>
      </c>
      <c r="U42">
        <v>499.18584771175557</v>
      </c>
      <c r="V42">
        <v>1298.8821658264528</v>
      </c>
      <c r="W42">
        <v>3609.8249999999998</v>
      </c>
      <c r="X42">
        <v>0</v>
      </c>
      <c r="Y42">
        <v>0</v>
      </c>
      <c r="Z42">
        <v>777.3911398572734</v>
      </c>
      <c r="AA42">
        <v>521.4910259691793</v>
      </c>
    </row>
    <row r="43" spans="1:27" x14ac:dyDescent="0.3">
      <c r="A43" t="s">
        <v>30</v>
      </c>
      <c r="B43" t="s">
        <v>31</v>
      </c>
      <c r="C43">
        <v>1</v>
      </c>
      <c r="J43">
        <v>1811.8662396472282</v>
      </c>
      <c r="K43">
        <v>3602.6869999999999</v>
      </c>
      <c r="L43">
        <v>0</v>
      </c>
      <c r="M43">
        <v>0</v>
      </c>
      <c r="N43">
        <v>1226.5424328586689</v>
      </c>
      <c r="O43">
        <v>585.32380678855941</v>
      </c>
      <c r="P43">
        <v>1876.6927050365066</v>
      </c>
      <c r="Q43">
        <v>3602.0929999999998</v>
      </c>
      <c r="R43">
        <v>0</v>
      </c>
      <c r="S43">
        <v>0</v>
      </c>
      <c r="T43">
        <v>1226.1494890774993</v>
      </c>
      <c r="U43">
        <v>650.5432159590074</v>
      </c>
      <c r="V43">
        <v>1877.1186387918679</v>
      </c>
      <c r="W43">
        <v>3624.6260000000002</v>
      </c>
      <c r="X43">
        <v>0</v>
      </c>
      <c r="Y43">
        <v>0</v>
      </c>
      <c r="Z43">
        <v>1226.5754228328606</v>
      </c>
      <c r="AA43">
        <v>650.5432159590074</v>
      </c>
    </row>
    <row r="44" spans="1:27" x14ac:dyDescent="0.3">
      <c r="A44" t="s">
        <v>30</v>
      </c>
      <c r="B44" t="s">
        <v>31</v>
      </c>
      <c r="C44">
        <v>2</v>
      </c>
      <c r="J44">
        <v>1699.0113713965643</v>
      </c>
      <c r="K44">
        <v>3601.9459999999999</v>
      </c>
      <c r="L44">
        <v>0</v>
      </c>
      <c r="M44">
        <v>0</v>
      </c>
      <c r="N44">
        <v>1173.4351444345878</v>
      </c>
      <c r="O44">
        <v>525.57622696197666</v>
      </c>
      <c r="P44">
        <v>1758.836151631021</v>
      </c>
      <c r="Q44">
        <v>3600.7829999999999</v>
      </c>
      <c r="R44">
        <v>0</v>
      </c>
      <c r="S44">
        <v>0</v>
      </c>
      <c r="T44">
        <v>1175.866365788745</v>
      </c>
      <c r="U44">
        <v>582.96978584227588</v>
      </c>
      <c r="V44">
        <v>1767.6053310804286</v>
      </c>
      <c r="W44">
        <v>3623.616</v>
      </c>
      <c r="X44">
        <v>0</v>
      </c>
      <c r="Y44">
        <v>0</v>
      </c>
      <c r="Z44">
        <v>1174.7447959550047</v>
      </c>
      <c r="AA44">
        <v>592.86053512542378</v>
      </c>
    </row>
    <row r="45" spans="1:27" x14ac:dyDescent="0.3">
      <c r="A45" t="s">
        <v>30</v>
      </c>
      <c r="B45" t="s">
        <v>31</v>
      </c>
      <c r="C45">
        <v>3</v>
      </c>
      <c r="J45">
        <v>1697.601469307665</v>
      </c>
      <c r="K45">
        <v>3602.098</v>
      </c>
      <c r="L45">
        <v>0</v>
      </c>
      <c r="M45">
        <v>0</v>
      </c>
      <c r="N45">
        <v>1215.7395838647913</v>
      </c>
      <c r="O45">
        <v>481.8618854428737</v>
      </c>
      <c r="P45">
        <v>1760.3597205377405</v>
      </c>
      <c r="Q45">
        <v>3601.886</v>
      </c>
      <c r="R45">
        <v>0</v>
      </c>
      <c r="S45">
        <v>0</v>
      </c>
      <c r="T45">
        <v>1217.2256409024665</v>
      </c>
      <c r="U45">
        <v>543.13407963527402</v>
      </c>
      <c r="V45">
        <v>1769.4187633508227</v>
      </c>
      <c r="W45">
        <v>3625.962</v>
      </c>
      <c r="X45">
        <v>0</v>
      </c>
      <c r="Y45">
        <v>0</v>
      </c>
      <c r="Z45">
        <v>1216.522605056693</v>
      </c>
      <c r="AA45">
        <v>552.89615829412958</v>
      </c>
    </row>
    <row r="46" spans="1:27" x14ac:dyDescent="0.3">
      <c r="A46" t="s">
        <v>30</v>
      </c>
      <c r="B46" t="s">
        <v>31</v>
      </c>
      <c r="C46">
        <v>4</v>
      </c>
      <c r="J46">
        <v>1617.1771751392848</v>
      </c>
      <c r="K46">
        <v>3602.1840000000002</v>
      </c>
      <c r="L46">
        <v>0</v>
      </c>
      <c r="M46">
        <v>0</v>
      </c>
      <c r="N46">
        <v>1130.7528654948476</v>
      </c>
      <c r="O46">
        <v>486.42430964443713</v>
      </c>
      <c r="P46">
        <v>1784.420821272503</v>
      </c>
      <c r="Q46">
        <v>3601.0909999999999</v>
      </c>
      <c r="R46">
        <v>0</v>
      </c>
      <c r="S46">
        <v>0</v>
      </c>
      <c r="T46">
        <v>1136.9150757475866</v>
      </c>
      <c r="U46">
        <v>647.50574552491639</v>
      </c>
      <c r="V46">
        <v>1810.7983751956524</v>
      </c>
      <c r="W46">
        <v>3624.962</v>
      </c>
      <c r="X46">
        <v>0</v>
      </c>
      <c r="Y46">
        <v>0</v>
      </c>
      <c r="Z46">
        <v>1133.4222427374209</v>
      </c>
      <c r="AA46">
        <v>677.3761324582315</v>
      </c>
    </row>
    <row r="47" spans="1:27" x14ac:dyDescent="0.3">
      <c r="A47" t="s">
        <v>30</v>
      </c>
      <c r="B47" t="s">
        <v>31</v>
      </c>
      <c r="C47">
        <v>5</v>
      </c>
      <c r="J47">
        <v>1837.4136781124437</v>
      </c>
      <c r="K47">
        <v>3602.0349999999999</v>
      </c>
      <c r="L47">
        <v>0</v>
      </c>
      <c r="M47">
        <v>0</v>
      </c>
      <c r="N47">
        <v>1196.6528226122236</v>
      </c>
      <c r="O47">
        <v>640.76085550022003</v>
      </c>
      <c r="P47">
        <v>1910.9345525690005</v>
      </c>
      <c r="Q47">
        <v>3601.6149999999998</v>
      </c>
      <c r="R47">
        <v>0</v>
      </c>
      <c r="S47">
        <v>0</v>
      </c>
      <c r="T47">
        <v>1198.2834561136274</v>
      </c>
      <c r="U47">
        <v>712.65109645537325</v>
      </c>
      <c r="V47">
        <v>1916.5490088828678</v>
      </c>
      <c r="W47">
        <v>3624.8969999999999</v>
      </c>
      <c r="X47">
        <v>0</v>
      </c>
      <c r="Y47">
        <v>0</v>
      </c>
      <c r="Z47">
        <v>1199.3823575922152</v>
      </c>
      <c r="AA47">
        <v>717.16665129065268</v>
      </c>
    </row>
    <row r="48" spans="1:27" x14ac:dyDescent="0.3">
      <c r="A48" t="s">
        <v>32</v>
      </c>
      <c r="B48" t="s">
        <v>33</v>
      </c>
      <c r="C48">
        <v>1</v>
      </c>
      <c r="J48">
        <v>2530.4166491521605</v>
      </c>
      <c r="K48">
        <v>3601.7660000000001</v>
      </c>
      <c r="L48">
        <v>0</v>
      </c>
      <c r="M48">
        <v>0</v>
      </c>
      <c r="N48">
        <v>1753.4815943689521</v>
      </c>
      <c r="O48">
        <v>776.93505478320844</v>
      </c>
      <c r="P48">
        <v>2624.2877471526199</v>
      </c>
      <c r="Q48">
        <v>3601.87</v>
      </c>
      <c r="R48">
        <v>0</v>
      </c>
      <c r="S48">
        <v>0</v>
      </c>
      <c r="T48">
        <v>1753.4557483100916</v>
      </c>
      <c r="U48">
        <v>870.83199884252815</v>
      </c>
      <c r="V48">
        <v>2628.2778167134284</v>
      </c>
      <c r="W48">
        <v>3652.61</v>
      </c>
      <c r="X48">
        <v>0</v>
      </c>
      <c r="Y48">
        <v>0</v>
      </c>
      <c r="Z48">
        <v>1754.4261800657011</v>
      </c>
      <c r="AA48">
        <v>873.85163664772745</v>
      </c>
    </row>
    <row r="49" spans="1:27" x14ac:dyDescent="0.3">
      <c r="A49" t="s">
        <v>32</v>
      </c>
      <c r="B49" t="s">
        <v>33</v>
      </c>
      <c r="C49">
        <v>2</v>
      </c>
      <c r="J49">
        <v>2444.015455984334</v>
      </c>
      <c r="K49">
        <v>3602.328</v>
      </c>
      <c r="L49">
        <v>0</v>
      </c>
      <c r="M49">
        <v>0</v>
      </c>
      <c r="N49">
        <v>1660.3382137002591</v>
      </c>
      <c r="O49">
        <v>783.67724228407519</v>
      </c>
      <c r="P49">
        <v>2472.899430628936</v>
      </c>
      <c r="Q49">
        <v>3601.5239999999999</v>
      </c>
      <c r="R49">
        <v>0</v>
      </c>
      <c r="S49">
        <v>0</v>
      </c>
      <c r="T49">
        <v>1661.7009124419285</v>
      </c>
      <c r="U49">
        <v>811.19851818700749</v>
      </c>
      <c r="V49">
        <v>2489.2333634341867</v>
      </c>
      <c r="W49">
        <v>3649.3110000000001</v>
      </c>
      <c r="X49">
        <v>0</v>
      </c>
      <c r="Y49">
        <v>0</v>
      </c>
      <c r="Z49">
        <v>1660.520855878653</v>
      </c>
      <c r="AA49">
        <v>828.71250755553388</v>
      </c>
    </row>
    <row r="50" spans="1:27" x14ac:dyDescent="0.3">
      <c r="A50" t="s">
        <v>32</v>
      </c>
      <c r="B50" t="s">
        <v>33</v>
      </c>
      <c r="C50">
        <v>3</v>
      </c>
      <c r="J50">
        <v>2322.5820588080342</v>
      </c>
      <c r="K50">
        <v>3669.4569999999999</v>
      </c>
      <c r="L50">
        <v>0</v>
      </c>
      <c r="M50">
        <v>0</v>
      </c>
      <c r="N50">
        <v>1758.6910651852952</v>
      </c>
      <c r="O50">
        <v>563.89099362273907</v>
      </c>
      <c r="P50">
        <v>2421.0646034384959</v>
      </c>
      <c r="Q50">
        <v>3601.3910000000001</v>
      </c>
      <c r="R50">
        <v>0</v>
      </c>
      <c r="S50">
        <v>0</v>
      </c>
      <c r="T50">
        <v>1760.1805558624478</v>
      </c>
      <c r="U50">
        <v>660.88404757604815</v>
      </c>
      <c r="V50">
        <v>2431.472135671559</v>
      </c>
      <c r="W50">
        <v>3654.4169999999999</v>
      </c>
      <c r="X50">
        <v>0</v>
      </c>
      <c r="Y50">
        <v>0</v>
      </c>
      <c r="Z50">
        <v>1759.1290999773626</v>
      </c>
      <c r="AA50">
        <v>672.34303569419637</v>
      </c>
    </row>
    <row r="51" spans="1:27" x14ac:dyDescent="0.3">
      <c r="A51" t="s">
        <v>32</v>
      </c>
      <c r="B51" t="s">
        <v>33</v>
      </c>
      <c r="C51">
        <v>4</v>
      </c>
      <c r="J51">
        <v>2497.0165783656589</v>
      </c>
      <c r="K51">
        <v>3602.1419999999998</v>
      </c>
      <c r="L51">
        <v>0</v>
      </c>
      <c r="M51">
        <v>0</v>
      </c>
      <c r="N51">
        <v>1693.2025600097879</v>
      </c>
      <c r="O51">
        <v>803.81401835587087</v>
      </c>
      <c r="P51">
        <v>2594.4888374727238</v>
      </c>
      <c r="Q51">
        <v>3621.7159999999999</v>
      </c>
      <c r="R51">
        <v>0</v>
      </c>
      <c r="S51">
        <v>0</v>
      </c>
      <c r="T51">
        <v>1691.4415880451259</v>
      </c>
      <c r="U51">
        <v>903.04724942759788</v>
      </c>
      <c r="V51">
        <v>2621.9457205559188</v>
      </c>
      <c r="W51">
        <v>3642.3420000000001</v>
      </c>
      <c r="X51">
        <v>0</v>
      </c>
      <c r="Y51">
        <v>0</v>
      </c>
      <c r="Z51">
        <v>1691.8778614764117</v>
      </c>
      <c r="AA51">
        <v>930.067859079507</v>
      </c>
    </row>
    <row r="52" spans="1:27" x14ac:dyDescent="0.3">
      <c r="A52" t="s">
        <v>32</v>
      </c>
      <c r="B52" t="s">
        <v>33</v>
      </c>
      <c r="C52">
        <v>5</v>
      </c>
      <c r="J52">
        <v>2337.4109040825592</v>
      </c>
      <c r="K52">
        <v>3602.127</v>
      </c>
      <c r="L52">
        <v>0</v>
      </c>
      <c r="M52">
        <v>0</v>
      </c>
      <c r="N52">
        <v>1735.095069865137</v>
      </c>
      <c r="O52">
        <v>602.31583421742209</v>
      </c>
      <c r="P52">
        <v>2528.6291866627716</v>
      </c>
      <c r="Q52">
        <v>3601.7539999999999</v>
      </c>
      <c r="R52">
        <v>0</v>
      </c>
      <c r="S52">
        <v>0</v>
      </c>
      <c r="T52">
        <v>1735.0697575986571</v>
      </c>
      <c r="U52">
        <v>793.55942906411428</v>
      </c>
      <c r="V52">
        <v>2537.2195221448696</v>
      </c>
      <c r="W52">
        <v>3640.69</v>
      </c>
      <c r="X52">
        <v>0</v>
      </c>
      <c r="Y52">
        <v>0</v>
      </c>
      <c r="Z52">
        <v>1736.3204249486441</v>
      </c>
      <c r="AA52">
        <v>800.89909719622563</v>
      </c>
    </row>
  </sheetData>
  <mergeCells count="4">
    <mergeCell ref="P1:U1"/>
    <mergeCell ref="V1:AA1"/>
    <mergeCell ref="D1:I1"/>
    <mergeCell ref="J1:O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opLeftCell="A22" workbookViewId="0">
      <selection activeCell="B29" sqref="B29"/>
    </sheetView>
  </sheetViews>
  <sheetFormatPr defaultRowHeight="14" x14ac:dyDescent="0.3"/>
  <cols>
    <col min="1" max="1" width="9" bestFit="1" customWidth="1"/>
    <col min="2" max="2" width="6.08203125" bestFit="1" customWidth="1"/>
    <col min="3" max="3" width="4.83203125" bestFit="1" customWidth="1"/>
    <col min="4" max="4" width="6.83203125" customWidth="1"/>
    <col min="5" max="5" width="9.6640625" customWidth="1"/>
    <col min="6" max="6" width="23" customWidth="1"/>
    <col min="7" max="7" width="11.4140625" customWidth="1"/>
    <col min="8" max="9" width="13.58203125" bestFit="1" customWidth="1"/>
    <col min="10" max="12" width="13.58203125" customWidth="1"/>
    <col min="13" max="14" width="19" bestFit="1" customWidth="1"/>
    <col min="15" max="16" width="29.75" customWidth="1"/>
    <col min="17" max="17" width="12.58203125" bestFit="1" customWidth="1"/>
    <col min="18" max="18" width="12.58203125" customWidth="1"/>
    <col min="19" max="19" width="14.9140625" bestFit="1" customWidth="1"/>
  </cols>
  <sheetData>
    <row r="1" spans="1:19" x14ac:dyDescent="0.3">
      <c r="A1" s="3"/>
      <c r="B1" s="3"/>
      <c r="C1" s="3"/>
      <c r="D1" s="5"/>
      <c r="E1" s="5"/>
      <c r="F1" s="5"/>
      <c r="G1" s="5"/>
      <c r="H1" s="3"/>
      <c r="I1" s="3"/>
      <c r="J1" s="5"/>
      <c r="K1" s="6"/>
      <c r="L1" s="6"/>
      <c r="M1" s="3"/>
      <c r="N1" s="3"/>
      <c r="O1" s="3"/>
      <c r="P1" s="3"/>
      <c r="Q1" s="3"/>
      <c r="R1" s="6"/>
      <c r="S1" s="3"/>
    </row>
    <row r="2" spans="1:19" x14ac:dyDescent="0.3">
      <c r="A2" s="3"/>
      <c r="B2" s="3"/>
      <c r="C2" s="3"/>
      <c r="D2" s="5"/>
      <c r="E2" s="5"/>
      <c r="F2" s="33" t="s">
        <v>90</v>
      </c>
      <c r="G2" s="33"/>
      <c r="H2" s="33" t="s">
        <v>39</v>
      </c>
      <c r="I2" s="33"/>
      <c r="J2" s="33"/>
      <c r="K2" s="33" t="s">
        <v>589</v>
      </c>
      <c r="L2" s="33"/>
      <c r="M2" s="33" t="s">
        <v>41</v>
      </c>
      <c r="N2" s="33"/>
      <c r="O2" s="33" t="s">
        <v>40</v>
      </c>
      <c r="P2" s="33"/>
      <c r="Q2" s="33" t="s">
        <v>91</v>
      </c>
      <c r="R2" s="33"/>
      <c r="S2" s="33"/>
    </row>
    <row r="3" spans="1:19" x14ac:dyDescent="0.3">
      <c r="A3" s="3" t="s">
        <v>1</v>
      </c>
      <c r="B3" s="3" t="s">
        <v>2</v>
      </c>
      <c r="C3" s="3" t="s">
        <v>3</v>
      </c>
      <c r="D3" s="5" t="s">
        <v>587</v>
      </c>
      <c r="E3" s="5" t="s">
        <v>588</v>
      </c>
      <c r="F3" s="5" t="s">
        <v>38</v>
      </c>
      <c r="G3" s="5" t="s">
        <v>37</v>
      </c>
      <c r="H3" s="3" t="s">
        <v>7</v>
      </c>
      <c r="I3" s="3" t="s">
        <v>11</v>
      </c>
      <c r="J3" s="5" t="s">
        <v>92</v>
      </c>
      <c r="K3" s="6" t="s">
        <v>7</v>
      </c>
      <c r="L3" s="6" t="s">
        <v>11</v>
      </c>
      <c r="M3" s="3" t="s">
        <v>7</v>
      </c>
      <c r="N3" s="3" t="s">
        <v>11</v>
      </c>
      <c r="O3" s="3" t="s">
        <v>7</v>
      </c>
      <c r="P3" s="3" t="s">
        <v>11</v>
      </c>
      <c r="Q3" s="3" t="s">
        <v>35</v>
      </c>
      <c r="R3" s="6" t="s">
        <v>590</v>
      </c>
      <c r="S3" s="3" t="s">
        <v>36</v>
      </c>
    </row>
    <row r="4" spans="1:19" x14ac:dyDescent="0.3">
      <c r="A4" s="3" t="s">
        <v>13</v>
      </c>
      <c r="B4" s="3" t="s">
        <v>14</v>
      </c>
      <c r="C4" s="3">
        <v>1</v>
      </c>
      <c r="D4" s="5">
        <v>3</v>
      </c>
      <c r="E4" s="5">
        <f>D4/3*20</f>
        <v>20</v>
      </c>
      <c r="F4" s="33" t="s">
        <v>42</v>
      </c>
      <c r="G4" s="5" t="s">
        <v>50</v>
      </c>
      <c r="H4" s="3">
        <v>19.113158371209611</v>
      </c>
      <c r="I4" s="3">
        <v>2.3029999999999999</v>
      </c>
      <c r="J4" s="4">
        <v>0</v>
      </c>
      <c r="K4" s="6">
        <v>19.113158371209611</v>
      </c>
      <c r="L4" s="6">
        <v>3600.0839999999998</v>
      </c>
      <c r="M4" s="3">
        <v>19.113158371209611</v>
      </c>
      <c r="N4" s="3">
        <v>1551.1289999999999</v>
      </c>
      <c r="O4" s="3">
        <v>19.120358371209612</v>
      </c>
      <c r="P4" s="3">
        <v>784.38</v>
      </c>
      <c r="Q4" s="4">
        <f t="shared" ref="Q4:Q35" si="0">IFERROR((H4-O4)/H4,"-")</f>
        <v>-3.7670383199704102E-4</v>
      </c>
      <c r="R4" s="4">
        <f>(K4-O4)/K4</f>
        <v>-3.7670383199704102E-4</v>
      </c>
      <c r="S4" s="4">
        <f>(M4-O4)/M4</f>
        <v>-3.7670383199704102E-4</v>
      </c>
    </row>
    <row r="5" spans="1:19" x14ac:dyDescent="0.3">
      <c r="A5" s="3" t="s">
        <v>13</v>
      </c>
      <c r="B5" s="3" t="s">
        <v>14</v>
      </c>
      <c r="C5" s="3">
        <v>2</v>
      </c>
      <c r="D5" s="5">
        <v>3</v>
      </c>
      <c r="E5" s="5">
        <f t="shared" ref="E5:E53" si="1">D5/3*20</f>
        <v>20</v>
      </c>
      <c r="F5" s="33"/>
      <c r="G5" s="5" t="s">
        <v>51</v>
      </c>
      <c r="H5" s="3">
        <v>22.152430125032964</v>
      </c>
      <c r="I5" s="3">
        <v>4.9210000000000003</v>
      </c>
      <c r="J5" s="4">
        <v>0</v>
      </c>
      <c r="K5" s="6">
        <v>22.152430125032968</v>
      </c>
      <c r="L5" s="6">
        <v>3600.0920000000001</v>
      </c>
      <c r="M5" s="3">
        <v>22.152430125032968</v>
      </c>
      <c r="N5" s="3">
        <v>3600.0659999999998</v>
      </c>
      <c r="O5" s="3">
        <v>22.152430125032968</v>
      </c>
      <c r="P5" s="3">
        <v>1784.1759999999999</v>
      </c>
      <c r="Q5" s="4">
        <f t="shared" si="0"/>
        <v>-1.6037579889647497E-16</v>
      </c>
      <c r="R5" s="4">
        <f t="shared" ref="R5:R53" si="2">(K5-O5)/K5</f>
        <v>0</v>
      </c>
      <c r="S5" s="4">
        <f t="shared" ref="S5:S35" si="3">(M5-O5)/M5</f>
        <v>0</v>
      </c>
    </row>
    <row r="6" spans="1:19" x14ac:dyDescent="0.3">
      <c r="A6" s="3" t="s">
        <v>13</v>
      </c>
      <c r="B6" s="3" t="s">
        <v>14</v>
      </c>
      <c r="C6" s="3">
        <v>3</v>
      </c>
      <c r="D6" s="5">
        <v>3</v>
      </c>
      <c r="E6" s="5">
        <f t="shared" si="1"/>
        <v>20</v>
      </c>
      <c r="F6" s="33"/>
      <c r="G6" s="5" t="s">
        <v>52</v>
      </c>
      <c r="H6" s="3">
        <v>2.3320333963418576</v>
      </c>
      <c r="I6" s="3">
        <v>0.90700000000000003</v>
      </c>
      <c r="J6" s="4">
        <v>0</v>
      </c>
      <c r="K6" s="6">
        <v>2.3320333963418576</v>
      </c>
      <c r="L6" s="6">
        <v>3600.0909999999999</v>
      </c>
      <c r="M6" s="3">
        <v>2.3320333963418576</v>
      </c>
      <c r="N6" s="3">
        <v>636.81399999999996</v>
      </c>
      <c r="O6" s="3">
        <v>2.3320333963418576</v>
      </c>
      <c r="P6" s="3">
        <v>135.89400000000001</v>
      </c>
      <c r="Q6" s="4">
        <f t="shared" si="0"/>
        <v>0</v>
      </c>
      <c r="R6" s="4">
        <f t="shared" si="2"/>
        <v>0</v>
      </c>
      <c r="S6" s="4">
        <f t="shared" si="3"/>
        <v>0</v>
      </c>
    </row>
    <row r="7" spans="1:19" x14ac:dyDescent="0.3">
      <c r="A7" s="3" t="s">
        <v>13</v>
      </c>
      <c r="B7" s="3" t="s">
        <v>14</v>
      </c>
      <c r="C7" s="3">
        <v>4</v>
      </c>
      <c r="D7" s="5">
        <v>3</v>
      </c>
      <c r="E7" s="5">
        <f t="shared" si="1"/>
        <v>20</v>
      </c>
      <c r="F7" s="33"/>
      <c r="G7" s="5" t="s">
        <v>53</v>
      </c>
      <c r="H7" s="3">
        <v>3.968250290840007</v>
      </c>
      <c r="I7" s="3">
        <v>2.5099999999999998</v>
      </c>
      <c r="J7" s="4">
        <v>0</v>
      </c>
      <c r="K7" s="6">
        <v>3.9682502908400066</v>
      </c>
      <c r="L7" s="6">
        <v>3600.1</v>
      </c>
      <c r="M7" s="3">
        <v>3.968250290840007</v>
      </c>
      <c r="N7" s="3">
        <v>2002.5530000000001</v>
      </c>
      <c r="O7" s="3">
        <v>3.9682502908400066</v>
      </c>
      <c r="P7" s="3">
        <v>750.221</v>
      </c>
      <c r="Q7" s="4">
        <f t="shared" si="0"/>
        <v>1.1191058459068541E-16</v>
      </c>
      <c r="R7" s="4">
        <f t="shared" si="2"/>
        <v>0</v>
      </c>
      <c r="S7" s="4">
        <f t="shared" si="3"/>
        <v>1.1191058459068541E-16</v>
      </c>
    </row>
    <row r="8" spans="1:19" x14ac:dyDescent="0.3">
      <c r="A8" s="3" t="s">
        <v>13</v>
      </c>
      <c r="B8" s="3" t="s">
        <v>14</v>
      </c>
      <c r="C8" s="3">
        <v>5</v>
      </c>
      <c r="D8" s="5">
        <v>3</v>
      </c>
      <c r="E8" s="5">
        <f t="shared" si="1"/>
        <v>20</v>
      </c>
      <c r="F8" s="33"/>
      <c r="G8" s="5" t="s">
        <v>54</v>
      </c>
      <c r="H8" s="3">
        <v>3.7929994136695395</v>
      </c>
      <c r="I8" s="3">
        <v>1.538</v>
      </c>
      <c r="J8" s="4">
        <v>0</v>
      </c>
      <c r="K8" s="6">
        <v>3.7929994136695404</v>
      </c>
      <c r="L8" s="6">
        <v>3600.0169999999998</v>
      </c>
      <c r="M8" s="3">
        <v>3.79299941366954</v>
      </c>
      <c r="N8" s="3">
        <v>1898.9760000000001</v>
      </c>
      <c r="O8" s="3">
        <v>3.7953994136695393</v>
      </c>
      <c r="P8" s="3">
        <v>708.14300000000003</v>
      </c>
      <c r="Q8" s="4">
        <f t="shared" si="0"/>
        <v>-6.3274462720727242E-4</v>
      </c>
      <c r="R8" s="4">
        <f t="shared" si="2"/>
        <v>-6.3274462720703812E-4</v>
      </c>
      <c r="S8" s="4">
        <f>(M8-O8)/M8</f>
        <v>-6.3274462720715532E-4</v>
      </c>
    </row>
    <row r="9" spans="1:19" x14ac:dyDescent="0.3">
      <c r="A9" s="3" t="s">
        <v>18</v>
      </c>
      <c r="B9" s="3" t="s">
        <v>19</v>
      </c>
      <c r="C9" s="3">
        <v>1</v>
      </c>
      <c r="D9" s="5">
        <v>6</v>
      </c>
      <c r="E9" s="5">
        <f t="shared" si="1"/>
        <v>40</v>
      </c>
      <c r="F9" s="33" t="s">
        <v>43</v>
      </c>
      <c r="G9" s="5" t="s">
        <v>55</v>
      </c>
      <c r="H9" s="3">
        <v>39.75575014615066</v>
      </c>
      <c r="I9" s="3">
        <v>3601.355</v>
      </c>
      <c r="J9" s="4">
        <v>9.0671677550743519E-4</v>
      </c>
      <c r="K9" s="6">
        <v>39.761758749796655</v>
      </c>
      <c r="L9" s="6">
        <v>3600.1260000000002</v>
      </c>
      <c r="M9" s="3">
        <v>39.833758749796658</v>
      </c>
      <c r="N9" s="3">
        <v>3600.194</v>
      </c>
      <c r="O9" s="3">
        <v>40.118458749796645</v>
      </c>
      <c r="P9" s="3">
        <v>3600.4140000000002</v>
      </c>
      <c r="Q9" s="4">
        <f t="shared" si="0"/>
        <v>-9.1234249715472539E-3</v>
      </c>
      <c r="R9" s="4">
        <f t="shared" si="2"/>
        <v>-8.9709311462942663E-3</v>
      </c>
      <c r="S9" s="4">
        <f t="shared" si="3"/>
        <v>-7.1472040032235212E-3</v>
      </c>
    </row>
    <row r="10" spans="1:19" x14ac:dyDescent="0.3">
      <c r="A10" s="3" t="s">
        <v>18</v>
      </c>
      <c r="B10" s="3" t="s">
        <v>19</v>
      </c>
      <c r="C10" s="3">
        <v>2</v>
      </c>
      <c r="D10" s="5">
        <v>6</v>
      </c>
      <c r="E10" s="5">
        <f t="shared" si="1"/>
        <v>40</v>
      </c>
      <c r="F10" s="33"/>
      <c r="G10" s="5" t="s">
        <v>56</v>
      </c>
      <c r="H10" s="3">
        <v>41.555424227173049</v>
      </c>
      <c r="I10" s="3">
        <v>207.953</v>
      </c>
      <c r="J10" s="4">
        <v>8.2186408665249551E-5</v>
      </c>
      <c r="K10" s="6">
        <v>41.555424227173049</v>
      </c>
      <c r="L10" s="6">
        <v>3600.096</v>
      </c>
      <c r="M10" s="3">
        <v>41.767224227173052</v>
      </c>
      <c r="N10" s="3">
        <v>3600.1080000000002</v>
      </c>
      <c r="O10" s="3">
        <v>41.898026514197895</v>
      </c>
      <c r="P10" s="3">
        <v>3600.0569999999998</v>
      </c>
      <c r="Q10" s="4">
        <f t="shared" si="0"/>
        <v>-8.2444661171529737E-3</v>
      </c>
      <c r="R10" s="4">
        <f t="shared" si="2"/>
        <v>-8.2444661171529737E-3</v>
      </c>
      <c r="S10" s="4">
        <f t="shared" si="3"/>
        <v>-3.1316969093613941E-3</v>
      </c>
    </row>
    <row r="11" spans="1:19" x14ac:dyDescent="0.3">
      <c r="A11" s="3" t="s">
        <v>18</v>
      </c>
      <c r="B11" s="3" t="s">
        <v>19</v>
      </c>
      <c r="C11" s="3">
        <v>3</v>
      </c>
      <c r="D11" s="5">
        <v>6</v>
      </c>
      <c r="E11" s="5">
        <f t="shared" si="1"/>
        <v>40</v>
      </c>
      <c r="F11" s="33"/>
      <c r="G11" s="5" t="s">
        <v>57</v>
      </c>
      <c r="H11" s="3">
        <v>19.740402093227388</v>
      </c>
      <c r="I11" s="3">
        <v>820.41899999999998</v>
      </c>
      <c r="J11" s="4">
        <v>0</v>
      </c>
      <c r="K11" s="6">
        <v>19.740402093227388</v>
      </c>
      <c r="L11" s="6">
        <v>3600.0990000000002</v>
      </c>
      <c r="M11" s="3">
        <v>19.858726224054692</v>
      </c>
      <c r="N11" s="3">
        <v>3600.058</v>
      </c>
      <c r="O11" s="3">
        <v>19.868326224054695</v>
      </c>
      <c r="P11" s="3">
        <v>3600.5169999999998</v>
      </c>
      <c r="Q11" s="4">
        <f t="shared" si="0"/>
        <v>-6.4803204222063527E-3</v>
      </c>
      <c r="R11" s="4">
        <f t="shared" si="2"/>
        <v>-6.4803204222063527E-3</v>
      </c>
      <c r="S11" s="4">
        <f t="shared" si="3"/>
        <v>-4.8341469093692946E-4</v>
      </c>
    </row>
    <row r="12" spans="1:19" x14ac:dyDescent="0.3">
      <c r="A12" s="3" t="s">
        <v>18</v>
      </c>
      <c r="B12" s="3" t="s">
        <v>19</v>
      </c>
      <c r="C12" s="3">
        <v>4</v>
      </c>
      <c r="D12" s="5">
        <v>6</v>
      </c>
      <c r="E12" s="5">
        <f t="shared" si="1"/>
        <v>40</v>
      </c>
      <c r="F12" s="33"/>
      <c r="G12" s="5" t="s">
        <v>58</v>
      </c>
      <c r="H12" s="3">
        <v>22.758820843048195</v>
      </c>
      <c r="I12" s="3">
        <v>3601.018</v>
      </c>
      <c r="J12" s="4">
        <v>4.9312486298519831E-3</v>
      </c>
      <c r="K12" s="6">
        <v>22.758820843048206</v>
      </c>
      <c r="L12" s="6">
        <v>3600.0859999999998</v>
      </c>
      <c r="M12" s="3">
        <v>23.115855568532133</v>
      </c>
      <c r="N12" s="3">
        <v>3600.7660000000001</v>
      </c>
      <c r="O12" s="3">
        <v>23.117820147610626</v>
      </c>
      <c r="P12" s="3">
        <v>3600.1170000000002</v>
      </c>
      <c r="Q12" s="4">
        <f t="shared" si="0"/>
        <v>-1.5774073140177182E-2</v>
      </c>
      <c r="R12" s="4">
        <f t="shared" si="2"/>
        <v>-1.5774073140176707E-2</v>
      </c>
      <c r="S12" s="4">
        <f t="shared" si="3"/>
        <v>-8.4988378330551288E-5</v>
      </c>
    </row>
    <row r="13" spans="1:19" x14ac:dyDescent="0.3">
      <c r="A13" s="3" t="s">
        <v>18</v>
      </c>
      <c r="B13" s="3" t="s">
        <v>19</v>
      </c>
      <c r="C13" s="3">
        <v>5</v>
      </c>
      <c r="D13" s="5">
        <v>6</v>
      </c>
      <c r="E13" s="5">
        <f t="shared" si="1"/>
        <v>40</v>
      </c>
      <c r="F13" s="33"/>
      <c r="G13" s="5" t="s">
        <v>59</v>
      </c>
      <c r="H13" s="3">
        <v>34.061136441961978</v>
      </c>
      <c r="I13" s="3">
        <v>3601.0390000000002</v>
      </c>
      <c r="J13" s="4">
        <v>4.2144084673436605E-3</v>
      </c>
      <c r="K13" s="6">
        <v>34.061136441961978</v>
      </c>
      <c r="L13" s="6">
        <v>3600.1219999999998</v>
      </c>
      <c r="M13" s="3">
        <v>34.167917464225027</v>
      </c>
      <c r="N13" s="3">
        <v>3600.085</v>
      </c>
      <c r="O13" s="3">
        <v>34.23259926627064</v>
      </c>
      <c r="P13" s="3">
        <v>3600.277</v>
      </c>
      <c r="Q13" s="4">
        <f t="shared" si="0"/>
        <v>-5.0339725041418986E-3</v>
      </c>
      <c r="R13" s="4">
        <f t="shared" si="2"/>
        <v>-5.0339725041418986E-3</v>
      </c>
      <c r="S13" s="4">
        <f t="shared" si="3"/>
        <v>-1.8930566111714712E-3</v>
      </c>
    </row>
    <row r="14" spans="1:19" x14ac:dyDescent="0.3">
      <c r="A14" s="3" t="s">
        <v>21</v>
      </c>
      <c r="B14" s="3" t="s">
        <v>22</v>
      </c>
      <c r="C14" s="3">
        <v>1</v>
      </c>
      <c r="D14" s="5">
        <v>9</v>
      </c>
      <c r="E14" s="5">
        <f t="shared" si="1"/>
        <v>60</v>
      </c>
      <c r="F14" s="33" t="s">
        <v>44</v>
      </c>
      <c r="G14" s="5" t="s">
        <v>60</v>
      </c>
      <c r="H14" s="3">
        <v>1014.7879161034551</v>
      </c>
      <c r="I14" s="3">
        <v>3603.576</v>
      </c>
      <c r="J14" s="4">
        <v>0.93890347617094894</v>
      </c>
      <c r="K14" s="6">
        <v>119.85564640508085</v>
      </c>
      <c r="L14" s="6">
        <v>3602.9740000000002</v>
      </c>
      <c r="M14" s="3">
        <v>87.977597793632953</v>
      </c>
      <c r="N14" s="3">
        <v>3600.0929999999998</v>
      </c>
      <c r="O14" s="3">
        <v>87.71120226777964</v>
      </c>
      <c r="P14" s="3">
        <v>3600.5259999999998</v>
      </c>
      <c r="Q14" s="4">
        <f t="shared" si="0"/>
        <v>0.91356696224313561</v>
      </c>
      <c r="R14" s="4">
        <f t="shared" si="2"/>
        <v>0.26819298966242577</v>
      </c>
      <c r="S14" s="4">
        <f t="shared" si="3"/>
        <v>3.0279927223995145E-3</v>
      </c>
    </row>
    <row r="15" spans="1:19" x14ac:dyDescent="0.3">
      <c r="A15" s="3" t="s">
        <v>21</v>
      </c>
      <c r="B15" s="3" t="s">
        <v>22</v>
      </c>
      <c r="C15" s="3">
        <v>2</v>
      </c>
      <c r="D15" s="5">
        <v>9</v>
      </c>
      <c r="E15" s="5">
        <f t="shared" si="1"/>
        <v>60</v>
      </c>
      <c r="F15" s="33"/>
      <c r="G15" s="5" t="s">
        <v>61</v>
      </c>
      <c r="H15" s="3">
        <v>95.557259588525312</v>
      </c>
      <c r="I15" s="3">
        <v>3603.6089999999999</v>
      </c>
      <c r="J15" s="4">
        <v>0.3902552040483972</v>
      </c>
      <c r="K15" s="6">
        <v>79.130001975071039</v>
      </c>
      <c r="L15" s="6">
        <v>3600.2</v>
      </c>
      <c r="M15" s="3">
        <v>75.04042152786279</v>
      </c>
      <c r="N15" s="3">
        <v>3600.08</v>
      </c>
      <c r="O15" s="3">
        <v>75.236867826458607</v>
      </c>
      <c r="P15" s="3">
        <v>3600.5230000000001</v>
      </c>
      <c r="Q15" s="4">
        <f t="shared" si="0"/>
        <v>0.21265147043319788</v>
      </c>
      <c r="R15" s="4">
        <f t="shared" si="2"/>
        <v>4.9199217129287043E-2</v>
      </c>
      <c r="S15" s="4">
        <f t="shared" si="3"/>
        <v>-2.6178730688882815E-3</v>
      </c>
    </row>
    <row r="16" spans="1:19" x14ac:dyDescent="0.3">
      <c r="A16" s="3" t="s">
        <v>21</v>
      </c>
      <c r="B16" s="3" t="s">
        <v>22</v>
      </c>
      <c r="C16" s="3">
        <v>3</v>
      </c>
      <c r="D16" s="5">
        <v>9</v>
      </c>
      <c r="E16" s="5">
        <f t="shared" si="1"/>
        <v>60</v>
      </c>
      <c r="F16" s="33"/>
      <c r="G16" s="5" t="s">
        <v>62</v>
      </c>
      <c r="H16" s="3">
        <v>600.59706196367097</v>
      </c>
      <c r="I16" s="3">
        <v>3603.5230000000001</v>
      </c>
      <c r="J16" s="4">
        <v>0.90846865434963198</v>
      </c>
      <c r="K16" s="6">
        <v>114.59645245371252</v>
      </c>
      <c r="L16" s="6">
        <v>3603.4870000000001</v>
      </c>
      <c r="M16" s="3">
        <v>85.580124037721163</v>
      </c>
      <c r="N16" s="3">
        <v>3600.6480000000001</v>
      </c>
      <c r="O16" s="3">
        <v>78.281067711821493</v>
      </c>
      <c r="P16" s="3">
        <v>3600.2649999999999</v>
      </c>
      <c r="Q16" s="4">
        <f t="shared" si="0"/>
        <v>0.8696612543260217</v>
      </c>
      <c r="R16" s="4">
        <f t="shared" si="2"/>
        <v>0.31689798387571755</v>
      </c>
      <c r="S16" s="4">
        <f t="shared" si="3"/>
        <v>8.5289153386625891E-2</v>
      </c>
    </row>
    <row r="17" spans="1:19" x14ac:dyDescent="0.3">
      <c r="A17" s="3" t="s">
        <v>21</v>
      </c>
      <c r="B17" s="3" t="s">
        <v>22</v>
      </c>
      <c r="C17" s="3">
        <v>4</v>
      </c>
      <c r="D17" s="5">
        <v>9</v>
      </c>
      <c r="E17" s="5">
        <f t="shared" si="1"/>
        <v>60</v>
      </c>
      <c r="F17" s="33"/>
      <c r="G17" s="5" t="s">
        <v>63</v>
      </c>
      <c r="H17" s="3">
        <v>79.090030546070395</v>
      </c>
      <c r="I17" s="3">
        <v>3603.453</v>
      </c>
      <c r="J17" s="4">
        <v>0.30597889132136707</v>
      </c>
      <c r="K17" s="6">
        <v>110.35665208980406</v>
      </c>
      <c r="L17" s="6">
        <v>3600.2860000000001</v>
      </c>
      <c r="M17" s="3">
        <v>82.049848009066338</v>
      </c>
      <c r="N17" s="3">
        <v>3600.509</v>
      </c>
      <c r="O17" s="3">
        <v>79.823886337707364</v>
      </c>
      <c r="P17" s="3">
        <v>3600.5659999999998</v>
      </c>
      <c r="Q17" s="4">
        <f t="shared" si="0"/>
        <v>-9.2787395145775588E-3</v>
      </c>
      <c r="R17" s="4">
        <f t="shared" si="2"/>
        <v>0.2766735414123499</v>
      </c>
      <c r="S17" s="4">
        <f t="shared" si="3"/>
        <v>2.7129382020464065E-2</v>
      </c>
    </row>
    <row r="18" spans="1:19" x14ac:dyDescent="0.3">
      <c r="A18" s="3" t="s">
        <v>21</v>
      </c>
      <c r="B18" s="3" t="s">
        <v>22</v>
      </c>
      <c r="C18" s="3">
        <v>5</v>
      </c>
      <c r="D18" s="5">
        <v>9</v>
      </c>
      <c r="E18" s="5">
        <f t="shared" si="1"/>
        <v>60</v>
      </c>
      <c r="F18" s="33"/>
      <c r="G18" s="5" t="s">
        <v>64</v>
      </c>
      <c r="H18" s="3">
        <v>62.581996299609443</v>
      </c>
      <c r="I18" s="3">
        <v>3602.9180000000001</v>
      </c>
      <c r="J18" s="4">
        <v>1.7105361952065104E-3</v>
      </c>
      <c r="K18" s="6">
        <v>67.93833028370095</v>
      </c>
      <c r="L18" s="6">
        <v>3600.2489999999998</v>
      </c>
      <c r="M18" s="3">
        <v>74.560326357414041</v>
      </c>
      <c r="N18" s="3">
        <v>3600.181</v>
      </c>
      <c r="O18" s="3">
        <v>63.492378102066596</v>
      </c>
      <c r="P18" s="3">
        <v>3600.0540000000001</v>
      </c>
      <c r="Q18" s="4">
        <f t="shared" si="0"/>
        <v>-1.4547024005094479E-2</v>
      </c>
      <c r="R18" s="4">
        <f t="shared" si="2"/>
        <v>6.5440998668478911E-2</v>
      </c>
      <c r="S18" s="4">
        <f t="shared" si="3"/>
        <v>0.14844286225749445</v>
      </c>
    </row>
    <row r="19" spans="1:19" x14ac:dyDescent="0.3">
      <c r="A19" s="3" t="s">
        <v>23</v>
      </c>
      <c r="B19" s="3" t="s">
        <v>24</v>
      </c>
      <c r="C19" s="3">
        <v>1</v>
      </c>
      <c r="D19" s="5">
        <v>12</v>
      </c>
      <c r="E19" s="5">
        <f t="shared" si="1"/>
        <v>80</v>
      </c>
      <c r="F19" s="33" t="s">
        <v>45</v>
      </c>
      <c r="G19" s="5" t="s">
        <v>65</v>
      </c>
      <c r="H19" s="3">
        <v>1779.0503180665351</v>
      </c>
      <c r="I19" s="3">
        <v>3608.6219999999998</v>
      </c>
      <c r="J19" s="4">
        <v>0.99645958548608748</v>
      </c>
      <c r="K19" s="6">
        <v>139.8957524937764</v>
      </c>
      <c r="L19" s="6">
        <v>3600.43</v>
      </c>
      <c r="M19" s="3">
        <v>95.2872019031946</v>
      </c>
      <c r="N19" s="3">
        <v>3600.232</v>
      </c>
      <c r="O19" s="3">
        <v>96.057852332269405</v>
      </c>
      <c r="P19" s="3">
        <v>3600.7579999999998</v>
      </c>
      <c r="Q19" s="4">
        <f t="shared" si="0"/>
        <v>0.94600610710288124</v>
      </c>
      <c r="R19" s="4">
        <f t="shared" si="2"/>
        <v>0.31336119489015385</v>
      </c>
      <c r="S19" s="4">
        <f t="shared" si="3"/>
        <v>-8.0876593465063103E-3</v>
      </c>
    </row>
    <row r="20" spans="1:19" x14ac:dyDescent="0.3">
      <c r="A20" s="3" t="s">
        <v>23</v>
      </c>
      <c r="B20" s="3" t="s">
        <v>24</v>
      </c>
      <c r="C20" s="3">
        <v>2</v>
      </c>
      <c r="D20" s="5">
        <v>12</v>
      </c>
      <c r="E20" s="5">
        <f t="shared" si="1"/>
        <v>80</v>
      </c>
      <c r="F20" s="33"/>
      <c r="G20" s="5" t="s">
        <v>66</v>
      </c>
      <c r="H20" s="3">
        <v>1485.9867313469467</v>
      </c>
      <c r="I20" s="3">
        <v>3608.384</v>
      </c>
      <c r="J20" s="4">
        <v>0.99564039637029755</v>
      </c>
      <c r="K20" s="6">
        <v>130.67448008437844</v>
      </c>
      <c r="L20" s="6">
        <v>3600.4749999999999</v>
      </c>
      <c r="M20" s="3">
        <v>107.79787016615427</v>
      </c>
      <c r="N20" s="3">
        <v>3600.0680000000002</v>
      </c>
      <c r="O20" s="3">
        <v>103.75426744136814</v>
      </c>
      <c r="P20" s="3">
        <v>3601.009</v>
      </c>
      <c r="Q20" s="4">
        <f t="shared" si="0"/>
        <v>0.93017820061736234</v>
      </c>
      <c r="R20" s="4">
        <f t="shared" si="2"/>
        <v>0.20600971685999839</v>
      </c>
      <c r="S20" s="4">
        <f t="shared" si="3"/>
        <v>3.7510970472362008E-2</v>
      </c>
    </row>
    <row r="21" spans="1:19" x14ac:dyDescent="0.3">
      <c r="A21" s="3" t="s">
        <v>23</v>
      </c>
      <c r="B21" s="3" t="s">
        <v>24</v>
      </c>
      <c r="C21" s="3">
        <v>3</v>
      </c>
      <c r="D21" s="5">
        <v>12</v>
      </c>
      <c r="E21" s="5">
        <f t="shared" si="1"/>
        <v>80</v>
      </c>
      <c r="F21" s="33"/>
      <c r="G21" s="5" t="s">
        <v>67</v>
      </c>
      <c r="H21" s="3">
        <v>1361.0478745513392</v>
      </c>
      <c r="I21" s="3">
        <v>3607.9450000000002</v>
      </c>
      <c r="J21" s="4">
        <v>0.99625957088498274</v>
      </c>
      <c r="K21" s="6">
        <v>139.7686740833378</v>
      </c>
      <c r="L21" s="6">
        <v>3600.4780000000001</v>
      </c>
      <c r="M21" s="3">
        <v>100.47303179399104</v>
      </c>
      <c r="N21" s="3">
        <v>3600.8420000000001</v>
      </c>
      <c r="O21" s="3">
        <v>96.89826578643283</v>
      </c>
      <c r="P21" s="3">
        <v>3600.3589999999999</v>
      </c>
      <c r="Q21" s="4">
        <f t="shared" si="0"/>
        <v>0.92880612974883436</v>
      </c>
      <c r="R21" s="4">
        <f t="shared" si="2"/>
        <v>0.30672401078472894</v>
      </c>
      <c r="S21" s="4">
        <f t="shared" si="3"/>
        <v>3.5579358398260312E-2</v>
      </c>
    </row>
    <row r="22" spans="1:19" x14ac:dyDescent="0.3">
      <c r="A22" s="3" t="s">
        <v>23</v>
      </c>
      <c r="B22" s="3" t="s">
        <v>24</v>
      </c>
      <c r="C22" s="3">
        <v>4</v>
      </c>
      <c r="D22" s="5">
        <v>12</v>
      </c>
      <c r="E22" s="5">
        <f t="shared" si="1"/>
        <v>80</v>
      </c>
      <c r="F22" s="33"/>
      <c r="G22" s="5" t="s">
        <v>68</v>
      </c>
      <c r="H22" s="3">
        <v>1390.0675692228908</v>
      </c>
      <c r="I22" s="3">
        <v>3608.1179999999999</v>
      </c>
      <c r="J22" s="4">
        <v>0.99647376277875233</v>
      </c>
      <c r="K22" s="6">
        <v>153.50249196774706</v>
      </c>
      <c r="L22" s="6">
        <v>3600.4569999999999</v>
      </c>
      <c r="M22" s="3">
        <v>108.49097012380952</v>
      </c>
      <c r="N22" s="3">
        <v>3600.0680000000002</v>
      </c>
      <c r="O22" s="3">
        <v>99.010361511311643</v>
      </c>
      <c r="P22" s="3">
        <v>3600.2260000000001</v>
      </c>
      <c r="Q22" s="4">
        <f t="shared" si="0"/>
        <v>0.92877298650549567</v>
      </c>
      <c r="R22" s="4">
        <f t="shared" si="2"/>
        <v>0.35499182949997288</v>
      </c>
      <c r="S22" s="4">
        <f t="shared" si="3"/>
        <v>8.7386153904593505E-2</v>
      </c>
    </row>
    <row r="23" spans="1:19" x14ac:dyDescent="0.3">
      <c r="A23" s="3" t="s">
        <v>23</v>
      </c>
      <c r="B23" s="3" t="s">
        <v>24</v>
      </c>
      <c r="C23" s="3">
        <v>5</v>
      </c>
      <c r="D23" s="5">
        <v>12</v>
      </c>
      <c r="E23" s="5">
        <f t="shared" si="1"/>
        <v>80</v>
      </c>
      <c r="F23" s="33"/>
      <c r="G23" s="5" t="s">
        <v>69</v>
      </c>
      <c r="H23" s="3">
        <v>1279.3915889633035</v>
      </c>
      <c r="I23" s="3">
        <v>3609.25</v>
      </c>
      <c r="J23" s="4">
        <v>0.99585741574248532</v>
      </c>
      <c r="K23" s="6">
        <v>150.38724903240183</v>
      </c>
      <c r="L23" s="6">
        <v>3600.4430000000002</v>
      </c>
      <c r="M23" s="3">
        <v>120.55877081221855</v>
      </c>
      <c r="N23" s="3">
        <v>3600.0889999999999</v>
      </c>
      <c r="O23" s="3">
        <v>107.9504301020327</v>
      </c>
      <c r="P23" s="3">
        <v>3600.366</v>
      </c>
      <c r="Q23" s="4">
        <f t="shared" si="0"/>
        <v>0.91562362060742841</v>
      </c>
      <c r="R23" s="4">
        <f t="shared" si="2"/>
        <v>0.28218362396685548</v>
      </c>
      <c r="S23" s="4">
        <f t="shared" si="3"/>
        <v>0.10458252539605363</v>
      </c>
    </row>
    <row r="24" spans="1:19" x14ac:dyDescent="0.3">
      <c r="A24" s="3" t="s">
        <v>26</v>
      </c>
      <c r="B24" s="3" t="s">
        <v>27</v>
      </c>
      <c r="C24" s="3">
        <v>1</v>
      </c>
      <c r="D24" s="5">
        <v>15</v>
      </c>
      <c r="E24" s="5">
        <f t="shared" si="1"/>
        <v>100</v>
      </c>
      <c r="F24" s="33" t="s">
        <v>46</v>
      </c>
      <c r="G24" s="5" t="s">
        <v>70</v>
      </c>
      <c r="H24" s="3">
        <v>1557.924887939429</v>
      </c>
      <c r="I24" s="3">
        <v>3617.569</v>
      </c>
      <c r="J24" s="4">
        <v>0.99597098123196848</v>
      </c>
      <c r="K24" s="6">
        <v>161.43302259709776</v>
      </c>
      <c r="L24" s="6">
        <v>3600.7280000000001</v>
      </c>
      <c r="M24" s="3">
        <v>115.84930425941576</v>
      </c>
      <c r="N24" s="3">
        <v>3600.2060000000001</v>
      </c>
      <c r="O24" s="3">
        <v>112.44468498811091</v>
      </c>
      <c r="P24" s="3">
        <v>3600.922</v>
      </c>
      <c r="Q24" s="4">
        <f t="shared" si="0"/>
        <v>0.92782406529442207</v>
      </c>
      <c r="R24" s="4">
        <f t="shared" si="2"/>
        <v>0.30345921064273973</v>
      </c>
      <c r="S24" s="4">
        <f t="shared" si="3"/>
        <v>2.9388344565980759E-2</v>
      </c>
    </row>
    <row r="25" spans="1:19" x14ac:dyDescent="0.3">
      <c r="A25" s="3" t="s">
        <v>26</v>
      </c>
      <c r="B25" s="3" t="s">
        <v>27</v>
      </c>
      <c r="C25" s="3">
        <v>2</v>
      </c>
      <c r="D25" s="5">
        <v>15</v>
      </c>
      <c r="E25" s="5">
        <f t="shared" si="1"/>
        <v>100</v>
      </c>
      <c r="F25" s="33"/>
      <c r="G25" s="5" t="s">
        <v>71</v>
      </c>
      <c r="H25" s="3">
        <v>2042.2429125479177</v>
      </c>
      <c r="I25" s="3">
        <v>3617.3939999999998</v>
      </c>
      <c r="J25" s="4">
        <v>0.9957398768016934</v>
      </c>
      <c r="K25" s="6">
        <v>192.30465255029085</v>
      </c>
      <c r="L25" s="6">
        <v>3601.0169999999998</v>
      </c>
      <c r="M25" s="3">
        <v>140.0327761318037</v>
      </c>
      <c r="N25" s="3">
        <v>3600.1030000000001</v>
      </c>
      <c r="O25" s="3">
        <v>136.135364351471</v>
      </c>
      <c r="P25" s="3">
        <v>3600.1</v>
      </c>
      <c r="Q25" s="4">
        <f t="shared" si="0"/>
        <v>0.93334026842985707</v>
      </c>
      <c r="R25" s="4">
        <f t="shared" si="2"/>
        <v>0.29208491554373939</v>
      </c>
      <c r="S25" s="4">
        <f t="shared" si="3"/>
        <v>2.7832139646109168E-2</v>
      </c>
    </row>
    <row r="26" spans="1:19" x14ac:dyDescent="0.3">
      <c r="A26" s="3" t="s">
        <v>26</v>
      </c>
      <c r="B26" s="3" t="s">
        <v>27</v>
      </c>
      <c r="C26" s="3">
        <v>3</v>
      </c>
      <c r="D26" s="5">
        <v>15</v>
      </c>
      <c r="E26" s="5">
        <f t="shared" si="1"/>
        <v>100</v>
      </c>
      <c r="F26" s="33"/>
      <c r="G26" s="5" t="s">
        <v>72</v>
      </c>
      <c r="H26" s="3">
        <v>2014.4736320687407</v>
      </c>
      <c r="I26" s="3">
        <v>3615.9169999999999</v>
      </c>
      <c r="J26" s="4">
        <v>0.99614347215230492</v>
      </c>
      <c r="K26" s="6">
        <v>148.07209015376804</v>
      </c>
      <c r="L26" s="6">
        <v>3600.8310000000001</v>
      </c>
      <c r="M26" s="3">
        <v>116.44529368534347</v>
      </c>
      <c r="N26" s="3">
        <v>3600.4319999999998</v>
      </c>
      <c r="O26" s="3">
        <v>112.49228066462901</v>
      </c>
      <c r="P26" s="3">
        <v>3600.2069999999999</v>
      </c>
      <c r="Q26" s="4">
        <f t="shared" si="0"/>
        <v>0.94415797810711155</v>
      </c>
      <c r="R26" s="4">
        <f t="shared" si="2"/>
        <v>0.2402870753846357</v>
      </c>
      <c r="S26" s="4">
        <f t="shared" si="3"/>
        <v>3.3947383321443897E-2</v>
      </c>
    </row>
    <row r="27" spans="1:19" x14ac:dyDescent="0.3">
      <c r="A27" s="3" t="s">
        <v>26</v>
      </c>
      <c r="B27" s="3" t="s">
        <v>27</v>
      </c>
      <c r="C27" s="3">
        <v>4</v>
      </c>
      <c r="D27" s="5">
        <v>15</v>
      </c>
      <c r="E27" s="5">
        <f t="shared" si="1"/>
        <v>100</v>
      </c>
      <c r="F27" s="33"/>
      <c r="G27" s="5" t="s">
        <v>73</v>
      </c>
      <c r="H27" s="3">
        <v>1918.4566434140004</v>
      </c>
      <c r="I27" s="3">
        <v>3617.0039999999999</v>
      </c>
      <c r="J27" s="4">
        <v>0.99596924402628317</v>
      </c>
      <c r="K27" s="6">
        <v>172.5957766878399</v>
      </c>
      <c r="L27" s="6">
        <v>3600.8</v>
      </c>
      <c r="M27" s="3">
        <v>133.51281268459496</v>
      </c>
      <c r="N27" s="3">
        <v>3600.61</v>
      </c>
      <c r="O27" s="3">
        <v>128.2387680792381</v>
      </c>
      <c r="P27" s="3">
        <v>3600.8919999999998</v>
      </c>
      <c r="Q27" s="4">
        <f t="shared" si="0"/>
        <v>0.9331552430337805</v>
      </c>
      <c r="R27" s="4">
        <f t="shared" si="2"/>
        <v>0.25699938584723747</v>
      </c>
      <c r="S27" s="4">
        <f t="shared" si="3"/>
        <v>3.9502160873623744E-2</v>
      </c>
    </row>
    <row r="28" spans="1:19" x14ac:dyDescent="0.3">
      <c r="A28" s="3" t="s">
        <v>26</v>
      </c>
      <c r="B28" s="3" t="s">
        <v>27</v>
      </c>
      <c r="C28" s="3">
        <v>5</v>
      </c>
      <c r="D28" s="5">
        <v>15</v>
      </c>
      <c r="E28" s="5">
        <f t="shared" si="1"/>
        <v>100</v>
      </c>
      <c r="F28" s="33"/>
      <c r="G28" s="5" t="s">
        <v>74</v>
      </c>
      <c r="H28" s="3">
        <v>2296.9963547158604</v>
      </c>
      <c r="I28" s="3">
        <v>3617.3049999999998</v>
      </c>
      <c r="J28" s="4">
        <v>0.99593425979891625</v>
      </c>
      <c r="K28" s="6">
        <v>221.23502350238041</v>
      </c>
      <c r="L28" s="6">
        <v>3600.944</v>
      </c>
      <c r="M28" s="3">
        <v>163.40759993350167</v>
      </c>
      <c r="N28" s="3">
        <v>3600.672</v>
      </c>
      <c r="O28" s="3">
        <v>164.89065281409654</v>
      </c>
      <c r="P28" s="3">
        <v>3600.3919999999998</v>
      </c>
      <c r="Q28" s="4">
        <f t="shared" si="0"/>
        <v>0.9282146650012888</v>
      </c>
      <c r="R28" s="4">
        <f t="shared" si="2"/>
        <v>0.25468106177898014</v>
      </c>
      <c r="S28" s="4">
        <f t="shared" si="3"/>
        <v>-9.0757888935300048E-3</v>
      </c>
    </row>
    <row r="29" spans="1:19" x14ac:dyDescent="0.3">
      <c r="A29" s="3" t="s">
        <v>20</v>
      </c>
      <c r="B29" s="3" t="s">
        <v>19</v>
      </c>
      <c r="C29" s="3">
        <v>1</v>
      </c>
      <c r="D29" s="5">
        <v>6</v>
      </c>
      <c r="E29" s="5">
        <f t="shared" si="1"/>
        <v>40</v>
      </c>
      <c r="F29" s="33" t="s">
        <v>43</v>
      </c>
      <c r="G29" s="5" t="s">
        <v>55</v>
      </c>
      <c r="H29" s="3">
        <v>3871.6275880056887</v>
      </c>
      <c r="I29" s="3">
        <v>3605.31</v>
      </c>
      <c r="J29" s="4">
        <v>0.98971554215165969</v>
      </c>
      <c r="K29" s="6">
        <v>319.53606947777735</v>
      </c>
      <c r="L29" s="6">
        <v>3600.692</v>
      </c>
      <c r="M29" s="3">
        <v>236.92127413431751</v>
      </c>
      <c r="N29" s="3">
        <v>3601.8090000000002</v>
      </c>
      <c r="O29" s="3">
        <v>225.10988662137976</v>
      </c>
      <c r="P29" s="3">
        <v>3602.3449999999998</v>
      </c>
      <c r="Q29" s="4">
        <f t="shared" si="0"/>
        <v>0.94185652377342011</v>
      </c>
      <c r="R29" s="4">
        <f t="shared" si="2"/>
        <v>0.29551024712396234</v>
      </c>
      <c r="S29" s="4">
        <f t="shared" si="3"/>
        <v>4.9853638328154266E-2</v>
      </c>
    </row>
    <row r="30" spans="1:19" x14ac:dyDescent="0.3">
      <c r="A30" s="3" t="s">
        <v>20</v>
      </c>
      <c r="B30" s="3" t="s">
        <v>19</v>
      </c>
      <c r="C30" s="3">
        <v>2</v>
      </c>
      <c r="D30" s="5">
        <v>6</v>
      </c>
      <c r="E30" s="5">
        <f t="shared" si="1"/>
        <v>40</v>
      </c>
      <c r="F30" s="33"/>
      <c r="G30" s="5" t="s">
        <v>56</v>
      </c>
      <c r="H30" s="3">
        <v>300.12227220326088</v>
      </c>
      <c r="I30" s="3">
        <v>3605.027</v>
      </c>
      <c r="J30" s="4">
        <v>0.49660646416000853</v>
      </c>
      <c r="K30" s="6">
        <v>331.50048436174211</v>
      </c>
      <c r="L30" s="6">
        <v>3600.6880000000001</v>
      </c>
      <c r="M30" s="3">
        <v>241.10929739884776</v>
      </c>
      <c r="N30" s="3">
        <v>3600.9349999999999</v>
      </c>
      <c r="O30" s="3">
        <v>238.98936419206723</v>
      </c>
      <c r="P30" s="3">
        <v>3601.4760000000001</v>
      </c>
      <c r="Q30" s="4">
        <f t="shared" si="0"/>
        <v>0.20369333992577118</v>
      </c>
      <c r="R30" s="4">
        <f t="shared" si="2"/>
        <v>0.27906782805398345</v>
      </c>
      <c r="S30" s="4">
        <f t="shared" si="3"/>
        <v>8.7924158448095622E-3</v>
      </c>
    </row>
    <row r="31" spans="1:19" x14ac:dyDescent="0.3">
      <c r="A31" s="3" t="s">
        <v>20</v>
      </c>
      <c r="B31" s="3" t="s">
        <v>19</v>
      </c>
      <c r="C31" s="3">
        <v>3</v>
      </c>
      <c r="D31" s="5">
        <v>6</v>
      </c>
      <c r="E31" s="5">
        <f t="shared" si="1"/>
        <v>40</v>
      </c>
      <c r="F31" s="33"/>
      <c r="G31" s="5" t="s">
        <v>57</v>
      </c>
      <c r="H31" s="3">
        <v>119.32010848375801</v>
      </c>
      <c r="I31" s="3">
        <v>3605.2429999999999</v>
      </c>
      <c r="J31" s="4">
        <v>8.0908802167131588E-2</v>
      </c>
      <c r="K31" s="6">
        <v>162.12217431841853</v>
      </c>
      <c r="L31" s="6">
        <v>3600.931</v>
      </c>
      <c r="M31" s="3">
        <v>123.11756293151566</v>
      </c>
      <c r="N31" s="3">
        <v>3600.68</v>
      </c>
      <c r="O31" s="3">
        <v>123.24506749593867</v>
      </c>
      <c r="P31" s="3">
        <v>3600.4070000000002</v>
      </c>
      <c r="Q31" s="4">
        <f t="shared" si="0"/>
        <v>-3.289436342336996E-2</v>
      </c>
      <c r="R31" s="4">
        <f t="shared" si="2"/>
        <v>0.23980129174755999</v>
      </c>
      <c r="S31" s="4">
        <f t="shared" si="3"/>
        <v>-1.0356326212689151E-3</v>
      </c>
    </row>
    <row r="32" spans="1:19" x14ac:dyDescent="0.3">
      <c r="A32" s="3" t="s">
        <v>20</v>
      </c>
      <c r="B32" s="3" t="s">
        <v>19</v>
      </c>
      <c r="C32" s="3">
        <v>4</v>
      </c>
      <c r="D32" s="5">
        <v>6</v>
      </c>
      <c r="E32" s="5">
        <f t="shared" si="1"/>
        <v>40</v>
      </c>
      <c r="F32" s="33"/>
      <c r="G32" s="5" t="s">
        <v>58</v>
      </c>
      <c r="H32" s="3">
        <v>123.83911959795853</v>
      </c>
      <c r="I32" s="3">
        <v>3606.4789999999998</v>
      </c>
      <c r="J32" s="4">
        <v>7.9172236703176774E-2</v>
      </c>
      <c r="K32" s="6">
        <v>143.49692738316031</v>
      </c>
      <c r="L32" s="6">
        <v>3600.7139999999999</v>
      </c>
      <c r="M32" s="3">
        <v>128.742257434697</v>
      </c>
      <c r="N32" s="3">
        <v>3600.1419999999998</v>
      </c>
      <c r="O32" s="3">
        <v>127.98914761587699</v>
      </c>
      <c r="P32" s="3">
        <v>3600.2559999999999</v>
      </c>
      <c r="Q32" s="4">
        <f t="shared" si="0"/>
        <v>-3.3511446394252881E-2</v>
      </c>
      <c r="R32" s="4">
        <f t="shared" si="2"/>
        <v>0.10807046568931063</v>
      </c>
      <c r="S32" s="4">
        <f t="shared" si="3"/>
        <v>5.8497484340137018E-3</v>
      </c>
    </row>
    <row r="33" spans="1:19" x14ac:dyDescent="0.3">
      <c r="A33" s="3" t="s">
        <v>20</v>
      </c>
      <c r="B33" s="3" t="s">
        <v>19</v>
      </c>
      <c r="C33" s="3">
        <v>5</v>
      </c>
      <c r="D33" s="5">
        <v>6</v>
      </c>
      <c r="E33" s="5">
        <f t="shared" si="1"/>
        <v>40</v>
      </c>
      <c r="F33" s="33"/>
      <c r="G33" s="5" t="s">
        <v>59</v>
      </c>
      <c r="H33" s="3">
        <v>3862.8415668764387</v>
      </c>
      <c r="I33" s="3">
        <v>3605.5889999999999</v>
      </c>
      <c r="J33" s="4">
        <v>0.98817092856988731</v>
      </c>
      <c r="K33" s="6">
        <v>301.28076674069325</v>
      </c>
      <c r="L33" s="6">
        <v>3600.73</v>
      </c>
      <c r="M33" s="3">
        <v>216.38221847062465</v>
      </c>
      <c r="N33" s="3">
        <v>3602.123</v>
      </c>
      <c r="O33" s="3">
        <v>216.13564150369564</v>
      </c>
      <c r="P33" s="3">
        <v>3600.8249999999998</v>
      </c>
      <c r="Q33" s="4">
        <f t="shared" si="0"/>
        <v>0.94404750032798601</v>
      </c>
      <c r="R33" s="4">
        <f t="shared" si="2"/>
        <v>0.28261055678433145</v>
      </c>
      <c r="S33" s="4">
        <f t="shared" si="3"/>
        <v>1.1395435755849183E-3</v>
      </c>
    </row>
    <row r="34" spans="1:19" x14ac:dyDescent="0.3">
      <c r="A34" s="3" t="s">
        <v>25</v>
      </c>
      <c r="B34" s="3" t="s">
        <v>24</v>
      </c>
      <c r="C34" s="3">
        <v>1</v>
      </c>
      <c r="D34" s="5">
        <v>12</v>
      </c>
      <c r="E34" s="5">
        <f t="shared" si="1"/>
        <v>80</v>
      </c>
      <c r="F34" s="33" t="s">
        <v>45</v>
      </c>
      <c r="G34" s="5" t="s">
        <v>65</v>
      </c>
      <c r="H34" s="4" t="str">
        <f>IFERROR((#REF!-#REF!)/#REF!,"-")</f>
        <v>-</v>
      </c>
      <c r="I34" s="4" t="str">
        <f>IFERROR((#REF!-A34)/#REF!,"-")</f>
        <v>-</v>
      </c>
      <c r="J34" s="4"/>
      <c r="K34" s="6">
        <v>669.02320263829938</v>
      </c>
      <c r="L34" s="6">
        <v>3603.4569999999999</v>
      </c>
      <c r="M34" s="3">
        <v>617.15626248967908</v>
      </c>
      <c r="N34" s="3">
        <v>3600.951</v>
      </c>
      <c r="O34" s="3">
        <v>525.2524278292135</v>
      </c>
      <c r="P34" s="3">
        <v>3600.2510000000002</v>
      </c>
      <c r="Q34" s="4" t="str">
        <f t="shared" si="0"/>
        <v>-</v>
      </c>
      <c r="R34" s="4">
        <f t="shared" si="2"/>
        <v>0.21489654505572373</v>
      </c>
      <c r="S34" s="4">
        <f t="shared" si="3"/>
        <v>0.1489150159308357</v>
      </c>
    </row>
    <row r="35" spans="1:19" x14ac:dyDescent="0.3">
      <c r="A35" s="3" t="s">
        <v>25</v>
      </c>
      <c r="B35" s="3" t="s">
        <v>24</v>
      </c>
      <c r="C35" s="3">
        <v>2</v>
      </c>
      <c r="D35" s="5">
        <v>12</v>
      </c>
      <c r="E35" s="5">
        <f t="shared" si="1"/>
        <v>80</v>
      </c>
      <c r="F35" s="33"/>
      <c r="G35" s="5" t="s">
        <v>66</v>
      </c>
      <c r="H35" s="4" t="str">
        <f t="shared" ref="H35" si="4">IFERROR((#REF!-#REF!)/#REF!,"-")</f>
        <v>-</v>
      </c>
      <c r="I35" s="4" t="str">
        <f t="shared" ref="I35" si="5">IFERROR((#REF!-A35)/#REF!,"-")</f>
        <v>-</v>
      </c>
      <c r="J35" s="4"/>
      <c r="K35" s="6">
        <v>875.64707763803267</v>
      </c>
      <c r="L35" s="6">
        <v>3603.3449999999998</v>
      </c>
      <c r="M35" s="3">
        <v>714.88367914656374</v>
      </c>
      <c r="N35" s="3">
        <v>3607.0819999999999</v>
      </c>
      <c r="O35" s="3">
        <v>630.57472931700363</v>
      </c>
      <c r="P35" s="3">
        <v>3600.527</v>
      </c>
      <c r="Q35" s="4" t="str">
        <f t="shared" si="0"/>
        <v>-</v>
      </c>
      <c r="R35" s="4">
        <f t="shared" si="2"/>
        <v>0.2798757108652567</v>
      </c>
      <c r="S35" s="4">
        <f t="shared" si="3"/>
        <v>0.11793380138459601</v>
      </c>
    </row>
    <row r="36" spans="1:19" x14ac:dyDescent="0.3">
      <c r="A36" s="3" t="s">
        <v>25</v>
      </c>
      <c r="B36" s="3" t="s">
        <v>24</v>
      </c>
      <c r="C36" s="3">
        <v>3</v>
      </c>
      <c r="D36" s="5">
        <v>12</v>
      </c>
      <c r="E36" s="5">
        <f t="shared" si="1"/>
        <v>80</v>
      </c>
      <c r="F36" s="33"/>
      <c r="G36" s="5" t="s">
        <v>67</v>
      </c>
      <c r="H36" s="4" t="str">
        <f t="shared" ref="H36" si="6">IFERROR((#REF!-#REF!)/#REF!,"-")</f>
        <v>-</v>
      </c>
      <c r="I36" s="4" t="str">
        <f t="shared" ref="I36" si="7">IFERROR((#REF!-A36)/#REF!,"-")</f>
        <v>-</v>
      </c>
      <c r="J36" s="4"/>
      <c r="K36" s="6">
        <v>615.18325638420697</v>
      </c>
      <c r="L36" s="6">
        <v>3604.0259999999998</v>
      </c>
      <c r="M36" s="3">
        <v>528.17197590094327</v>
      </c>
      <c r="N36" s="3">
        <v>3601.277</v>
      </c>
      <c r="O36" s="3">
        <v>469.27501128934068</v>
      </c>
      <c r="P36" s="3">
        <v>3601.2370000000001</v>
      </c>
      <c r="Q36" s="4" t="str">
        <f t="shared" ref="Q36:Q53" si="8">IFERROR((H36-O36)/H36,"-")</f>
        <v>-</v>
      </c>
      <c r="R36" s="4">
        <f t="shared" si="2"/>
        <v>0.23717850507254484</v>
      </c>
      <c r="S36" s="4">
        <f t="shared" ref="S36:S53" si="9">(M36-O36)/M36</f>
        <v>0.11151096101063963</v>
      </c>
    </row>
    <row r="37" spans="1:19" x14ac:dyDescent="0.3">
      <c r="A37" s="3" t="s">
        <v>25</v>
      </c>
      <c r="B37" s="3" t="s">
        <v>24</v>
      </c>
      <c r="C37" s="3">
        <v>4</v>
      </c>
      <c r="D37" s="5">
        <v>12</v>
      </c>
      <c r="E37" s="5">
        <f t="shared" si="1"/>
        <v>80</v>
      </c>
      <c r="F37" s="33"/>
      <c r="G37" s="5" t="s">
        <v>68</v>
      </c>
      <c r="H37" s="4" t="str">
        <f t="shared" ref="H37" si="10">IFERROR((#REF!-#REF!)/#REF!,"-")</f>
        <v>-</v>
      </c>
      <c r="I37" s="4" t="str">
        <f t="shared" ref="I37" si="11">IFERROR((#REF!-A37)/#REF!,"-")</f>
        <v>-</v>
      </c>
      <c r="J37" s="4"/>
      <c r="K37" s="6">
        <v>872.76363796921987</v>
      </c>
      <c r="L37" s="6">
        <v>3603.6559999999999</v>
      </c>
      <c r="M37" s="3">
        <v>751.40585432762532</v>
      </c>
      <c r="N37" s="3">
        <v>3612.9830000000002</v>
      </c>
      <c r="O37" s="3">
        <v>677.61251058916673</v>
      </c>
      <c r="P37" s="3">
        <v>3600.9369999999999</v>
      </c>
      <c r="Q37" s="4" t="str">
        <f t="shared" si="8"/>
        <v>-</v>
      </c>
      <c r="R37" s="4">
        <f t="shared" si="2"/>
        <v>0.22360134965537556</v>
      </c>
      <c r="S37" s="4">
        <f t="shared" si="9"/>
        <v>9.8207038597657073E-2</v>
      </c>
    </row>
    <row r="38" spans="1:19" x14ac:dyDescent="0.3">
      <c r="A38" s="3" t="s">
        <v>25</v>
      </c>
      <c r="B38" s="3" t="s">
        <v>24</v>
      </c>
      <c r="C38" s="3">
        <v>5</v>
      </c>
      <c r="D38" s="5">
        <v>12</v>
      </c>
      <c r="E38" s="5">
        <f t="shared" si="1"/>
        <v>80</v>
      </c>
      <c r="F38" s="33"/>
      <c r="G38" s="5" t="s">
        <v>69</v>
      </c>
      <c r="H38" s="4" t="str">
        <f t="shared" ref="H38" si="12">IFERROR((#REF!-#REF!)/#REF!,"-")</f>
        <v>-</v>
      </c>
      <c r="I38" s="4" t="str">
        <f t="shared" ref="I38" si="13">IFERROR((#REF!-A38)/#REF!,"-")</f>
        <v>-</v>
      </c>
      <c r="J38" s="4"/>
      <c r="K38" s="6">
        <v>673.31434578204039</v>
      </c>
      <c r="L38" s="6">
        <v>3603.4789999999998</v>
      </c>
      <c r="M38" s="3">
        <v>601.77079650144526</v>
      </c>
      <c r="N38" s="3">
        <v>3601.739</v>
      </c>
      <c r="O38" s="3">
        <v>533.85078008975802</v>
      </c>
      <c r="P38" s="3">
        <v>3606.3710000000001</v>
      </c>
      <c r="Q38" s="4" t="str">
        <f t="shared" si="8"/>
        <v>-</v>
      </c>
      <c r="R38" s="4">
        <f t="shared" si="2"/>
        <v>0.20712994839029961</v>
      </c>
      <c r="S38" s="4">
        <f t="shared" si="9"/>
        <v>0.11286692010738697</v>
      </c>
    </row>
    <row r="39" spans="1:19" x14ac:dyDescent="0.3">
      <c r="A39" s="3" t="s">
        <v>28</v>
      </c>
      <c r="B39" s="3" t="s">
        <v>29</v>
      </c>
      <c r="C39" s="3">
        <v>1</v>
      </c>
      <c r="D39" s="5">
        <v>18</v>
      </c>
      <c r="E39" s="5">
        <f t="shared" si="1"/>
        <v>120</v>
      </c>
      <c r="F39" s="33" t="s">
        <v>47</v>
      </c>
      <c r="G39" s="5" t="s">
        <v>75</v>
      </c>
      <c r="H39" s="4" t="str">
        <f t="shared" ref="H39" si="14">IFERROR((#REF!-#REF!)/#REF!,"-")</f>
        <v>-</v>
      </c>
      <c r="I39" s="4" t="str">
        <f t="shared" ref="I39" si="15">IFERROR((#REF!-A39)/#REF!,"-")</f>
        <v>-</v>
      </c>
      <c r="J39" s="4"/>
      <c r="K39" s="6">
        <v>1208.5581307509215</v>
      </c>
      <c r="L39" s="6">
        <v>3600.922</v>
      </c>
      <c r="M39" s="3">
        <v>1208.5581307509215</v>
      </c>
      <c r="N39" s="3">
        <v>3601.0349999999999</v>
      </c>
      <c r="O39" s="3">
        <v>1208.5581307509215</v>
      </c>
      <c r="P39" s="3">
        <v>3602.0920000000001</v>
      </c>
      <c r="Q39" s="4" t="str">
        <f t="shared" si="8"/>
        <v>-</v>
      </c>
      <c r="R39" s="4">
        <f t="shared" si="2"/>
        <v>0</v>
      </c>
      <c r="S39" s="4">
        <f t="shared" si="9"/>
        <v>0</v>
      </c>
    </row>
    <row r="40" spans="1:19" x14ac:dyDescent="0.3">
      <c r="A40" s="3" t="s">
        <v>28</v>
      </c>
      <c r="B40" s="3" t="s">
        <v>29</v>
      </c>
      <c r="C40" s="3">
        <v>2</v>
      </c>
      <c r="D40" s="5">
        <v>18</v>
      </c>
      <c r="E40" s="5">
        <f t="shared" si="1"/>
        <v>120</v>
      </c>
      <c r="F40" s="33"/>
      <c r="G40" s="5" t="s">
        <v>76</v>
      </c>
      <c r="H40" s="4" t="str">
        <f t="shared" ref="H40" si="16">IFERROR((#REF!-#REF!)/#REF!,"-")</f>
        <v>-</v>
      </c>
      <c r="I40" s="4" t="str">
        <f t="shared" ref="I40" si="17">IFERROR((#REF!-A40)/#REF!,"-")</f>
        <v>-</v>
      </c>
      <c r="J40" s="4"/>
      <c r="K40" s="6">
        <v>1375.2095669217042</v>
      </c>
      <c r="L40" s="6">
        <v>3609.5590000000002</v>
      </c>
      <c r="M40" s="3">
        <v>1343.8725247922441</v>
      </c>
      <c r="N40" s="3">
        <v>3660.9349999999999</v>
      </c>
      <c r="O40" s="3">
        <v>1186.7271707572488</v>
      </c>
      <c r="P40" s="3">
        <v>3601.462</v>
      </c>
      <c r="Q40" s="4" t="str">
        <f t="shared" si="8"/>
        <v>-</v>
      </c>
      <c r="R40" s="4">
        <f t="shared" si="2"/>
        <v>0.13705721709481564</v>
      </c>
      <c r="S40" s="4">
        <f t="shared" si="9"/>
        <v>0.11693471749434656</v>
      </c>
    </row>
    <row r="41" spans="1:19" x14ac:dyDescent="0.3">
      <c r="A41" s="3" t="s">
        <v>28</v>
      </c>
      <c r="B41" s="3" t="s">
        <v>29</v>
      </c>
      <c r="C41" s="3">
        <v>3</v>
      </c>
      <c r="D41" s="5">
        <v>18</v>
      </c>
      <c r="E41" s="5">
        <f t="shared" si="1"/>
        <v>120</v>
      </c>
      <c r="F41" s="33"/>
      <c r="G41" s="5" t="s">
        <v>77</v>
      </c>
      <c r="H41" s="4" t="str">
        <f t="shared" ref="H41" si="18">IFERROR((#REF!-#REF!)/#REF!,"-")</f>
        <v>-</v>
      </c>
      <c r="I41" s="4" t="str">
        <f t="shared" ref="I41" si="19">IFERROR((#REF!-A41)/#REF!,"-")</f>
        <v>-</v>
      </c>
      <c r="J41" s="4"/>
      <c r="K41" s="6">
        <v>1203.5269269478968</v>
      </c>
      <c r="L41" s="6">
        <v>3609.7049999999999</v>
      </c>
      <c r="M41" s="3">
        <v>1179.3138144186501</v>
      </c>
      <c r="N41" s="3">
        <v>3600.8209999999999</v>
      </c>
      <c r="O41" s="3">
        <v>1031.6821416486048</v>
      </c>
      <c r="P41" s="3">
        <v>3601.6889999999999</v>
      </c>
      <c r="Q41" s="4" t="str">
        <f t="shared" si="8"/>
        <v>-</v>
      </c>
      <c r="R41" s="4">
        <f t="shared" si="2"/>
        <v>0.14278432949986794</v>
      </c>
      <c r="S41" s="4">
        <f t="shared" si="9"/>
        <v>0.12518438346524519</v>
      </c>
    </row>
    <row r="42" spans="1:19" x14ac:dyDescent="0.3">
      <c r="A42" s="3" t="s">
        <v>28</v>
      </c>
      <c r="B42" s="3" t="s">
        <v>29</v>
      </c>
      <c r="C42" s="3">
        <v>4</v>
      </c>
      <c r="D42" s="5">
        <v>18</v>
      </c>
      <c r="E42" s="5">
        <f t="shared" si="1"/>
        <v>120</v>
      </c>
      <c r="F42" s="33"/>
      <c r="G42" s="5" t="s">
        <v>78</v>
      </c>
      <c r="H42" s="4" t="str">
        <f t="shared" ref="H42" si="20">IFERROR((#REF!-#REF!)/#REF!,"-")</f>
        <v>-</v>
      </c>
      <c r="I42" s="4" t="str">
        <f t="shared" ref="I42" si="21">IFERROR((#REF!-A42)/#REF!,"-")</f>
        <v>-</v>
      </c>
      <c r="J42" s="4"/>
      <c r="K42" s="6">
        <v>1255.0435796468382</v>
      </c>
      <c r="L42" s="6">
        <v>3610.0309999999999</v>
      </c>
      <c r="M42" s="3">
        <v>1204.6246490867941</v>
      </c>
      <c r="N42" s="3">
        <v>3603.5540000000001</v>
      </c>
      <c r="O42" s="3">
        <v>1103.9327734666153</v>
      </c>
      <c r="P42" s="3">
        <v>3600.875</v>
      </c>
      <c r="Q42" s="4" t="str">
        <f t="shared" si="8"/>
        <v>-</v>
      </c>
      <c r="R42" s="4">
        <f t="shared" si="2"/>
        <v>0.12040283591008415</v>
      </c>
      <c r="S42" s="4">
        <f t="shared" si="9"/>
        <v>8.3587759636590181E-2</v>
      </c>
    </row>
    <row r="43" spans="1:19" x14ac:dyDescent="0.3">
      <c r="A43" s="3" t="s">
        <v>28</v>
      </c>
      <c r="B43" s="3" t="s">
        <v>29</v>
      </c>
      <c r="C43" s="3">
        <v>5</v>
      </c>
      <c r="D43" s="5">
        <v>18</v>
      </c>
      <c r="E43" s="5">
        <f t="shared" si="1"/>
        <v>120</v>
      </c>
      <c r="F43" s="33"/>
      <c r="G43" s="5" t="s">
        <v>79</v>
      </c>
      <c r="H43" s="4" t="str">
        <f t="shared" ref="H43" si="22">IFERROR((#REF!-#REF!)/#REF!,"-")</f>
        <v>-</v>
      </c>
      <c r="I43" s="4" t="str">
        <f t="shared" ref="I43" si="23">IFERROR((#REF!-A43)/#REF!,"-")</f>
        <v>-</v>
      </c>
      <c r="J43" s="4"/>
      <c r="K43" s="6">
        <v>1298.8821658264528</v>
      </c>
      <c r="L43" s="6">
        <v>3609.8249999999998</v>
      </c>
      <c r="M43" s="3">
        <v>1279.1086280841514</v>
      </c>
      <c r="N43" s="3">
        <v>3608.819</v>
      </c>
      <c r="O43" s="3">
        <v>1192.9265569658357</v>
      </c>
      <c r="P43" s="3">
        <v>3602.0509999999999</v>
      </c>
      <c r="Q43" s="4" t="str">
        <f t="shared" si="8"/>
        <v>-</v>
      </c>
      <c r="R43" s="4">
        <f t="shared" si="2"/>
        <v>8.1574458136623687E-2</v>
      </c>
      <c r="S43" s="4">
        <f t="shared" si="9"/>
        <v>6.7376663112185514E-2</v>
      </c>
    </row>
    <row r="44" spans="1:19" x14ac:dyDescent="0.3">
      <c r="A44" s="3" t="s">
        <v>30</v>
      </c>
      <c r="B44" s="3" t="s">
        <v>31</v>
      </c>
      <c r="C44" s="3">
        <v>1</v>
      </c>
      <c r="D44" s="5">
        <v>24</v>
      </c>
      <c r="E44" s="5">
        <f t="shared" si="1"/>
        <v>160</v>
      </c>
      <c r="F44" s="33" t="s">
        <v>48</v>
      </c>
      <c r="G44" s="5" t="s">
        <v>80</v>
      </c>
      <c r="H44" s="4" t="str">
        <f t="shared" ref="H44" si="24">IFERROR((#REF!-#REF!)/#REF!,"-")</f>
        <v>-</v>
      </c>
      <c r="I44" s="4" t="str">
        <f t="shared" ref="I44" si="25">IFERROR((#REF!-A44)/#REF!,"-")</f>
        <v>-</v>
      </c>
      <c r="J44" s="4"/>
      <c r="K44" s="6">
        <v>1877.1186387918679</v>
      </c>
      <c r="L44" s="6">
        <v>3624.6260000000002</v>
      </c>
      <c r="M44" s="3">
        <v>1876.6927050365066</v>
      </c>
      <c r="N44" s="3">
        <v>3602.0929999999998</v>
      </c>
      <c r="O44" s="3">
        <v>1811.8662396472282</v>
      </c>
      <c r="P44" s="3">
        <v>3602.6869999999999</v>
      </c>
      <c r="Q44" s="4" t="str">
        <f t="shared" si="8"/>
        <v>-</v>
      </c>
      <c r="R44" s="4">
        <f t="shared" si="2"/>
        <v>3.4762000544961147E-2</v>
      </c>
      <c r="S44" s="4">
        <f t="shared" si="9"/>
        <v>3.4542930345123998E-2</v>
      </c>
    </row>
    <row r="45" spans="1:19" x14ac:dyDescent="0.3">
      <c r="A45" s="3" t="s">
        <v>30</v>
      </c>
      <c r="B45" s="3" t="s">
        <v>31</v>
      </c>
      <c r="C45" s="3">
        <v>2</v>
      </c>
      <c r="D45" s="5">
        <v>24</v>
      </c>
      <c r="E45" s="5">
        <f t="shared" si="1"/>
        <v>160</v>
      </c>
      <c r="F45" s="33"/>
      <c r="G45" s="5" t="s">
        <v>81</v>
      </c>
      <c r="H45" s="4" t="str">
        <f t="shared" ref="H45" si="26">IFERROR((#REF!-#REF!)/#REF!,"-")</f>
        <v>-</v>
      </c>
      <c r="I45" s="4" t="str">
        <f t="shared" ref="I45" si="27">IFERROR((#REF!-A45)/#REF!,"-")</f>
        <v>-</v>
      </c>
      <c r="J45" s="4"/>
      <c r="K45" s="6">
        <v>1767.6053310804286</v>
      </c>
      <c r="L45" s="6">
        <v>3623.616</v>
      </c>
      <c r="M45" s="3">
        <v>1758.836151631021</v>
      </c>
      <c r="N45" s="3">
        <v>3600.7829999999999</v>
      </c>
      <c r="O45" s="3">
        <v>1699.0113713965643</v>
      </c>
      <c r="P45" s="3">
        <v>3601.9459999999999</v>
      </c>
      <c r="Q45" s="4" t="str">
        <f t="shared" si="8"/>
        <v>-</v>
      </c>
      <c r="R45" s="4">
        <f t="shared" si="2"/>
        <v>3.8806151168336356E-2</v>
      </c>
      <c r="S45" s="4">
        <f t="shared" si="9"/>
        <v>3.4013844995725975E-2</v>
      </c>
    </row>
    <row r="46" spans="1:19" x14ac:dyDescent="0.3">
      <c r="A46" s="3" t="s">
        <v>30</v>
      </c>
      <c r="B46" s="3" t="s">
        <v>31</v>
      </c>
      <c r="C46" s="3">
        <v>3</v>
      </c>
      <c r="D46" s="5">
        <v>24</v>
      </c>
      <c r="E46" s="5">
        <f t="shared" si="1"/>
        <v>160</v>
      </c>
      <c r="F46" s="33"/>
      <c r="G46" s="5" t="s">
        <v>82</v>
      </c>
      <c r="H46" s="4" t="str">
        <f t="shared" ref="H46" si="28">IFERROR((#REF!-#REF!)/#REF!,"-")</f>
        <v>-</v>
      </c>
      <c r="I46" s="4" t="str">
        <f t="shared" ref="I46" si="29">IFERROR((#REF!-A46)/#REF!,"-")</f>
        <v>-</v>
      </c>
      <c r="J46" s="4"/>
      <c r="K46" s="6">
        <v>1769.4187633508227</v>
      </c>
      <c r="L46" s="6">
        <v>3625.962</v>
      </c>
      <c r="M46" s="3">
        <v>1760.3597205377405</v>
      </c>
      <c r="N46" s="3">
        <v>3601.886</v>
      </c>
      <c r="O46" s="3">
        <v>1697.601469307665</v>
      </c>
      <c r="P46" s="3">
        <v>3602.098</v>
      </c>
      <c r="Q46" s="4" t="str">
        <f t="shared" si="8"/>
        <v>-</v>
      </c>
      <c r="R46" s="4">
        <f t="shared" si="2"/>
        <v>4.0588070800805974E-2</v>
      </c>
      <c r="S46" s="4">
        <f t="shared" si="9"/>
        <v>3.5650810739355387E-2</v>
      </c>
    </row>
    <row r="47" spans="1:19" x14ac:dyDescent="0.3">
      <c r="A47" s="3" t="s">
        <v>30</v>
      </c>
      <c r="B47" s="3" t="s">
        <v>31</v>
      </c>
      <c r="C47" s="3">
        <v>4</v>
      </c>
      <c r="D47" s="5">
        <v>24</v>
      </c>
      <c r="E47" s="5">
        <f t="shared" si="1"/>
        <v>160</v>
      </c>
      <c r="F47" s="33"/>
      <c r="G47" s="5" t="s">
        <v>83</v>
      </c>
      <c r="H47" s="4" t="str">
        <f t="shared" ref="H47" si="30">IFERROR((#REF!-#REF!)/#REF!,"-")</f>
        <v>-</v>
      </c>
      <c r="I47" s="4" t="str">
        <f t="shared" ref="I47" si="31">IFERROR((#REF!-A47)/#REF!,"-")</f>
        <v>-</v>
      </c>
      <c r="J47" s="4"/>
      <c r="K47" s="6">
        <v>1810.7983751956524</v>
      </c>
      <c r="L47" s="6">
        <v>3624.962</v>
      </c>
      <c r="M47" s="3">
        <v>1784.420821272503</v>
      </c>
      <c r="N47" s="3">
        <v>3601.0909999999999</v>
      </c>
      <c r="O47" s="3">
        <v>1617.1771751392848</v>
      </c>
      <c r="P47" s="3">
        <v>3602.1840000000002</v>
      </c>
      <c r="Q47" s="4" t="str">
        <f t="shared" si="8"/>
        <v>-</v>
      </c>
      <c r="R47" s="4">
        <f t="shared" si="2"/>
        <v>0.10692587463551664</v>
      </c>
      <c r="S47" s="4">
        <f t="shared" si="9"/>
        <v>9.3724330124075578E-2</v>
      </c>
    </row>
    <row r="48" spans="1:19" x14ac:dyDescent="0.3">
      <c r="A48" s="3" t="s">
        <v>30</v>
      </c>
      <c r="B48" s="3" t="s">
        <v>31</v>
      </c>
      <c r="C48" s="3">
        <v>5</v>
      </c>
      <c r="D48" s="5">
        <v>24</v>
      </c>
      <c r="E48" s="5">
        <f t="shared" si="1"/>
        <v>160</v>
      </c>
      <c r="F48" s="33"/>
      <c r="G48" s="5" t="s">
        <v>84</v>
      </c>
      <c r="H48" s="4" t="str">
        <f t="shared" ref="H48" si="32">IFERROR((#REF!-#REF!)/#REF!,"-")</f>
        <v>-</v>
      </c>
      <c r="I48" s="4" t="str">
        <f t="shared" ref="I48" si="33">IFERROR((#REF!-A48)/#REF!,"-")</f>
        <v>-</v>
      </c>
      <c r="J48" s="4"/>
      <c r="K48" s="6">
        <v>1916.5490088828678</v>
      </c>
      <c r="L48" s="6">
        <v>3624.8969999999999</v>
      </c>
      <c r="M48" s="3">
        <v>1910.9345525690005</v>
      </c>
      <c r="N48" s="3">
        <v>3601.6149999999998</v>
      </c>
      <c r="O48" s="3">
        <v>1837.4136781124437</v>
      </c>
      <c r="P48" s="3">
        <v>3602.0349999999999</v>
      </c>
      <c r="Q48" s="4" t="str">
        <f t="shared" si="8"/>
        <v>-</v>
      </c>
      <c r="R48" s="4">
        <f t="shared" si="2"/>
        <v>4.1290533351167023E-2</v>
      </c>
      <c r="S48" s="4">
        <f t="shared" si="9"/>
        <v>3.8473779417362922E-2</v>
      </c>
    </row>
    <row r="49" spans="1:19" x14ac:dyDescent="0.3">
      <c r="A49" s="3" t="s">
        <v>32</v>
      </c>
      <c r="B49" s="3" t="s">
        <v>33</v>
      </c>
      <c r="C49" s="3">
        <v>1</v>
      </c>
      <c r="D49" s="5">
        <v>30</v>
      </c>
      <c r="E49" s="5">
        <f t="shared" si="1"/>
        <v>200</v>
      </c>
      <c r="F49" s="33" t="s">
        <v>49</v>
      </c>
      <c r="G49" s="5" t="s">
        <v>85</v>
      </c>
      <c r="H49" s="4" t="str">
        <f t="shared" ref="H49" si="34">IFERROR((#REF!-#REF!)/#REF!,"-")</f>
        <v>-</v>
      </c>
      <c r="I49" s="4" t="str">
        <f t="shared" ref="I49" si="35">IFERROR((#REF!-A49)/#REF!,"-")</f>
        <v>-</v>
      </c>
      <c r="J49" s="4"/>
      <c r="K49" s="6">
        <v>2628.2778167134284</v>
      </c>
      <c r="L49" s="6">
        <v>3652.61</v>
      </c>
      <c r="M49" s="3">
        <v>2624.2877471526199</v>
      </c>
      <c r="N49" s="3">
        <v>3601.87</v>
      </c>
      <c r="O49" s="3">
        <v>2530.4166491521605</v>
      </c>
      <c r="P49" s="3">
        <v>3601.7660000000001</v>
      </c>
      <c r="Q49" s="4" t="str">
        <f t="shared" si="8"/>
        <v>-</v>
      </c>
      <c r="R49" s="4">
        <f t="shared" si="2"/>
        <v>3.7233951045418746E-2</v>
      </c>
      <c r="S49" s="4">
        <f t="shared" si="9"/>
        <v>3.5770123951655269E-2</v>
      </c>
    </row>
    <row r="50" spans="1:19" x14ac:dyDescent="0.3">
      <c r="A50" s="3" t="s">
        <v>32</v>
      </c>
      <c r="B50" s="3" t="s">
        <v>33</v>
      </c>
      <c r="C50" s="3">
        <v>2</v>
      </c>
      <c r="D50" s="5">
        <v>30</v>
      </c>
      <c r="E50" s="5">
        <f t="shared" si="1"/>
        <v>200</v>
      </c>
      <c r="F50" s="33"/>
      <c r="G50" s="5" t="s">
        <v>86</v>
      </c>
      <c r="H50" s="4" t="str">
        <f t="shared" ref="H50" si="36">IFERROR((#REF!-#REF!)/#REF!,"-")</f>
        <v>-</v>
      </c>
      <c r="I50" s="4" t="str">
        <f t="shared" ref="I50" si="37">IFERROR((#REF!-A50)/#REF!,"-")</f>
        <v>-</v>
      </c>
      <c r="J50" s="4"/>
      <c r="K50" s="6">
        <v>2489.2333634341867</v>
      </c>
      <c r="L50" s="6">
        <v>3649.3110000000001</v>
      </c>
      <c r="M50" s="3">
        <v>2472.899430628936</v>
      </c>
      <c r="N50" s="3">
        <v>3601.5239999999999</v>
      </c>
      <c r="O50" s="3">
        <v>2444.015455984334</v>
      </c>
      <c r="P50" s="3">
        <v>3602.328</v>
      </c>
      <c r="Q50" s="4" t="str">
        <f t="shared" si="8"/>
        <v>-</v>
      </c>
      <c r="R50" s="4">
        <f t="shared" si="2"/>
        <v>1.8165395062626547E-2</v>
      </c>
      <c r="S50" s="4">
        <f t="shared" si="9"/>
        <v>1.1680205950492635E-2</v>
      </c>
    </row>
    <row r="51" spans="1:19" x14ac:dyDescent="0.3">
      <c r="A51" s="3" t="s">
        <v>32</v>
      </c>
      <c r="B51" s="3" t="s">
        <v>33</v>
      </c>
      <c r="C51" s="3">
        <v>3</v>
      </c>
      <c r="D51" s="5">
        <v>30</v>
      </c>
      <c r="E51" s="5">
        <f t="shared" si="1"/>
        <v>200</v>
      </c>
      <c r="F51" s="33"/>
      <c r="G51" s="5" t="s">
        <v>87</v>
      </c>
      <c r="H51" s="4" t="str">
        <f t="shared" ref="H51" si="38">IFERROR((#REF!-#REF!)/#REF!,"-")</f>
        <v>-</v>
      </c>
      <c r="I51" s="4" t="str">
        <f t="shared" ref="I51" si="39">IFERROR((#REF!-A51)/#REF!,"-")</f>
        <v>-</v>
      </c>
      <c r="J51" s="4"/>
      <c r="K51" s="6">
        <v>2431.472135671559</v>
      </c>
      <c r="L51" s="6">
        <v>3654.4169999999999</v>
      </c>
      <c r="M51" s="3">
        <v>2421.0646034384959</v>
      </c>
      <c r="N51" s="3">
        <v>3601.3910000000001</v>
      </c>
      <c r="O51" s="3">
        <v>2322.5820588080342</v>
      </c>
      <c r="P51" s="3">
        <v>3669.4569999999999</v>
      </c>
      <c r="Q51" s="4" t="str">
        <f t="shared" si="8"/>
        <v>-</v>
      </c>
      <c r="R51" s="4">
        <f t="shared" si="2"/>
        <v>4.4783600546362032E-2</v>
      </c>
      <c r="S51" s="4">
        <f t="shared" si="9"/>
        <v>4.0677371636672857E-2</v>
      </c>
    </row>
    <row r="52" spans="1:19" x14ac:dyDescent="0.3">
      <c r="A52" s="3" t="s">
        <v>32</v>
      </c>
      <c r="B52" s="3" t="s">
        <v>33</v>
      </c>
      <c r="C52" s="3">
        <v>4</v>
      </c>
      <c r="D52" s="5">
        <v>30</v>
      </c>
      <c r="E52" s="5">
        <f t="shared" si="1"/>
        <v>200</v>
      </c>
      <c r="F52" s="33"/>
      <c r="G52" s="5" t="s">
        <v>88</v>
      </c>
      <c r="H52" s="4" t="str">
        <f t="shared" ref="H52" si="40">IFERROR((#REF!-#REF!)/#REF!,"-")</f>
        <v>-</v>
      </c>
      <c r="I52" s="4" t="str">
        <f t="shared" ref="I52" si="41">IFERROR((#REF!-A52)/#REF!,"-")</f>
        <v>-</v>
      </c>
      <c r="J52" s="4"/>
      <c r="K52" s="6">
        <v>2621.9457205559188</v>
      </c>
      <c r="L52" s="6">
        <v>3642.3420000000001</v>
      </c>
      <c r="M52" s="3">
        <v>2594.4888374727238</v>
      </c>
      <c r="N52" s="3">
        <v>3621.7159999999999</v>
      </c>
      <c r="O52" s="3">
        <v>2497.0165783656589</v>
      </c>
      <c r="P52" s="3">
        <v>3602.1419999999998</v>
      </c>
      <c r="Q52" s="4" t="str">
        <f t="shared" si="8"/>
        <v>-</v>
      </c>
      <c r="R52" s="4">
        <f t="shared" si="2"/>
        <v>4.764749369554902E-2</v>
      </c>
      <c r="S52" s="4">
        <f t="shared" si="9"/>
        <v>3.7568964529449307E-2</v>
      </c>
    </row>
    <row r="53" spans="1:19" x14ac:dyDescent="0.3">
      <c r="A53" s="3" t="s">
        <v>32</v>
      </c>
      <c r="B53" s="3" t="s">
        <v>33</v>
      </c>
      <c r="C53" s="3">
        <v>5</v>
      </c>
      <c r="D53" s="5">
        <v>30</v>
      </c>
      <c r="E53" s="5">
        <f t="shared" si="1"/>
        <v>200</v>
      </c>
      <c r="F53" s="33"/>
      <c r="G53" s="5" t="s">
        <v>89</v>
      </c>
      <c r="H53" s="4" t="str">
        <f t="shared" ref="H53" si="42">IFERROR((#REF!-#REF!)/#REF!,"-")</f>
        <v>-</v>
      </c>
      <c r="I53" s="4" t="str">
        <f t="shared" ref="I53" si="43">IFERROR((#REF!-A53)/#REF!,"-")</f>
        <v>-</v>
      </c>
      <c r="J53" s="4"/>
      <c r="K53" s="6">
        <v>2537.2195221448696</v>
      </c>
      <c r="L53" s="6">
        <v>3640.69</v>
      </c>
      <c r="M53" s="3">
        <v>2528.6291866627716</v>
      </c>
      <c r="N53" s="3">
        <v>3601.7539999999999</v>
      </c>
      <c r="O53" s="3">
        <v>2337.4109040825592</v>
      </c>
      <c r="P53" s="3">
        <v>3602.127</v>
      </c>
      <c r="Q53" s="4" t="str">
        <f t="shared" si="8"/>
        <v>-</v>
      </c>
      <c r="R53" s="4">
        <f t="shared" si="2"/>
        <v>7.8751017134457382E-2</v>
      </c>
      <c r="S53" s="4">
        <f t="shared" si="9"/>
        <v>7.5621322251910747E-2</v>
      </c>
    </row>
  </sheetData>
  <mergeCells count="16">
    <mergeCell ref="F49:F53"/>
    <mergeCell ref="F2:G2"/>
    <mergeCell ref="Q2:S2"/>
    <mergeCell ref="H2:J2"/>
    <mergeCell ref="F19:F23"/>
    <mergeCell ref="F24:F28"/>
    <mergeCell ref="F29:F33"/>
    <mergeCell ref="F34:F38"/>
    <mergeCell ref="F39:F43"/>
    <mergeCell ref="F44:F48"/>
    <mergeCell ref="O2:P2"/>
    <mergeCell ref="M2:N2"/>
    <mergeCell ref="F4:F8"/>
    <mergeCell ref="F9:F13"/>
    <mergeCell ref="F14:F18"/>
    <mergeCell ref="K2:L2"/>
  </mergeCells>
  <phoneticPr fontId="2" type="noConversion"/>
  <conditionalFormatting sqref="Q4:S53">
    <cfRule type="cellIs" dxfId="15" priority="3" operator="greaterThan">
      <formula>-0.0000001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D4A9-E8CA-4A22-9736-43E01272C505}">
  <dimension ref="A1:O27"/>
  <sheetViews>
    <sheetView workbookViewId="0">
      <selection activeCell="H41" sqref="H41"/>
    </sheetView>
  </sheetViews>
  <sheetFormatPr defaultRowHeight="14" x14ac:dyDescent="0.3"/>
  <cols>
    <col min="1" max="1" width="25.4140625" bestFit="1" customWidth="1"/>
    <col min="2" max="2" width="8.6640625" bestFit="1" customWidth="1"/>
    <col min="3" max="3" width="8.58203125" bestFit="1" customWidth="1"/>
    <col min="4" max="4" width="6.58203125" bestFit="1" customWidth="1"/>
    <col min="5" max="5" width="8.58203125" bestFit="1" customWidth="1"/>
    <col min="6" max="6" width="6.58203125" bestFit="1" customWidth="1"/>
    <col min="7" max="7" width="14.9140625" bestFit="1" customWidth="1"/>
    <col min="9" max="9" width="25.4140625" bestFit="1" customWidth="1"/>
    <col min="11" max="11" width="9.58203125" bestFit="1" customWidth="1"/>
    <col min="12" max="12" width="6.58203125" bestFit="1" customWidth="1"/>
    <col min="13" max="13" width="9.58203125" bestFit="1" customWidth="1"/>
    <col min="14" max="14" width="6.58203125" bestFit="1" customWidth="1"/>
    <col min="15" max="15" width="14.9140625" bestFit="1" customWidth="1"/>
  </cols>
  <sheetData>
    <row r="1" spans="1:15" x14ac:dyDescent="0.3">
      <c r="A1" s="33" t="s">
        <v>807</v>
      </c>
      <c r="B1" s="33"/>
      <c r="C1" s="33" t="s">
        <v>41</v>
      </c>
      <c r="D1" s="33"/>
      <c r="E1" s="33" t="s">
        <v>40</v>
      </c>
      <c r="F1" s="33"/>
      <c r="I1" s="33" t="s">
        <v>808</v>
      </c>
      <c r="J1" s="33"/>
      <c r="K1" s="33" t="s">
        <v>41</v>
      </c>
      <c r="L1" s="33"/>
      <c r="M1" s="33" t="s">
        <v>40</v>
      </c>
      <c r="N1" s="33"/>
    </row>
    <row r="2" spans="1:15" x14ac:dyDescent="0.3">
      <c r="A2" s="7" t="s">
        <v>38</v>
      </c>
      <c r="B2" s="7" t="s">
        <v>37</v>
      </c>
      <c r="C2" s="7" t="s">
        <v>7</v>
      </c>
      <c r="D2" s="7" t="s">
        <v>11</v>
      </c>
      <c r="E2" s="7" t="s">
        <v>7</v>
      </c>
      <c r="F2" s="7" t="s">
        <v>11</v>
      </c>
      <c r="G2" s="7" t="s">
        <v>591</v>
      </c>
      <c r="I2" s="8" t="s">
        <v>38</v>
      </c>
      <c r="J2" s="8" t="s">
        <v>37</v>
      </c>
      <c r="K2" s="8" t="s">
        <v>7</v>
      </c>
      <c r="L2" s="8" t="s">
        <v>11</v>
      </c>
      <c r="M2" s="8" t="s">
        <v>7</v>
      </c>
      <c r="N2" s="8" t="s">
        <v>11</v>
      </c>
      <c r="O2" s="8" t="s">
        <v>591</v>
      </c>
    </row>
    <row r="3" spans="1:15" x14ac:dyDescent="0.3">
      <c r="A3" s="33" t="s">
        <v>598</v>
      </c>
      <c r="B3" s="7" t="s">
        <v>50</v>
      </c>
      <c r="C3" s="9">
        <v>19.113158371209611</v>
      </c>
      <c r="D3" s="10">
        <v>1551.1289999999999</v>
      </c>
      <c r="E3" s="9">
        <v>19.120358371209612</v>
      </c>
      <c r="F3" s="10">
        <v>784.38</v>
      </c>
      <c r="G3" s="4">
        <f>(C3-E3)/C3</f>
        <v>-3.7670383199704102E-4</v>
      </c>
      <c r="I3" s="33" t="s">
        <v>599</v>
      </c>
      <c r="J3" s="7" t="s">
        <v>55</v>
      </c>
      <c r="K3" s="9">
        <v>236.92127413431751</v>
      </c>
      <c r="L3" s="10">
        <v>3601.8090000000002</v>
      </c>
      <c r="M3" s="9">
        <v>225.10988662137976</v>
      </c>
      <c r="N3" s="10">
        <v>3602.3449999999998</v>
      </c>
      <c r="O3" s="4">
        <f t="shared" ref="O3:O27" si="0">(K3-M3)/K3</f>
        <v>4.9853638328154266E-2</v>
      </c>
    </row>
    <row r="4" spans="1:15" x14ac:dyDescent="0.3">
      <c r="A4" s="33"/>
      <c r="B4" s="7" t="s">
        <v>51</v>
      </c>
      <c r="C4" s="9">
        <v>22.152430125032968</v>
      </c>
      <c r="D4" s="10">
        <v>3600.0659999999998</v>
      </c>
      <c r="E4" s="9">
        <v>22.152430125032968</v>
      </c>
      <c r="F4" s="10">
        <v>1784.1759999999999</v>
      </c>
      <c r="G4" s="4">
        <f t="shared" ref="G4:G27" si="1">(C4-E4)/C4</f>
        <v>0</v>
      </c>
      <c r="I4" s="33"/>
      <c r="J4" s="7" t="s">
        <v>56</v>
      </c>
      <c r="K4" s="9">
        <v>241.10929739884776</v>
      </c>
      <c r="L4" s="10">
        <v>3600.9349999999999</v>
      </c>
      <c r="M4" s="9">
        <v>238.98936419206723</v>
      </c>
      <c r="N4" s="10">
        <v>3601.4760000000001</v>
      </c>
      <c r="O4" s="4">
        <f t="shared" si="0"/>
        <v>8.7924158448095622E-3</v>
      </c>
    </row>
    <row r="5" spans="1:15" x14ac:dyDescent="0.3">
      <c r="A5" s="33"/>
      <c r="B5" s="7" t="s">
        <v>52</v>
      </c>
      <c r="C5" s="9">
        <v>2.3320333963418576</v>
      </c>
      <c r="D5" s="10">
        <v>636.81399999999996</v>
      </c>
      <c r="E5" s="9">
        <v>2.3320333963418576</v>
      </c>
      <c r="F5" s="10">
        <v>135.89400000000001</v>
      </c>
      <c r="G5" s="4">
        <f t="shared" si="1"/>
        <v>0</v>
      </c>
      <c r="I5" s="33"/>
      <c r="J5" s="7" t="s">
        <v>57</v>
      </c>
      <c r="K5" s="9">
        <v>123.11756293151566</v>
      </c>
      <c r="L5" s="10">
        <v>3600.68</v>
      </c>
      <c r="M5" s="9">
        <v>123.24506749593867</v>
      </c>
      <c r="N5" s="10">
        <v>3600.4070000000002</v>
      </c>
      <c r="O5" s="4">
        <f t="shared" si="0"/>
        <v>-1.0356326212689151E-3</v>
      </c>
    </row>
    <row r="6" spans="1:15" x14ac:dyDescent="0.3">
      <c r="A6" s="33"/>
      <c r="B6" s="7" t="s">
        <v>53</v>
      </c>
      <c r="C6" s="9">
        <v>3.968250290840007</v>
      </c>
      <c r="D6" s="10">
        <v>2002.5530000000001</v>
      </c>
      <c r="E6" s="9">
        <v>3.9682502908400066</v>
      </c>
      <c r="F6" s="10">
        <v>750.221</v>
      </c>
      <c r="G6" s="4">
        <f t="shared" si="1"/>
        <v>1.1191058459068541E-16</v>
      </c>
      <c r="I6" s="33"/>
      <c r="J6" s="7" t="s">
        <v>58</v>
      </c>
      <c r="K6" s="9">
        <v>128.742257434697</v>
      </c>
      <c r="L6" s="10">
        <v>3600.1419999999998</v>
      </c>
      <c r="M6" s="9">
        <v>127.98914761587699</v>
      </c>
      <c r="N6" s="10">
        <v>3600.2559999999999</v>
      </c>
      <c r="O6" s="4">
        <f t="shared" si="0"/>
        <v>5.8497484340137018E-3</v>
      </c>
    </row>
    <row r="7" spans="1:15" x14ac:dyDescent="0.3">
      <c r="A7" s="33"/>
      <c r="B7" s="7" t="s">
        <v>54</v>
      </c>
      <c r="C7" s="9">
        <v>3.79299941366954</v>
      </c>
      <c r="D7" s="10">
        <v>1898.9760000000001</v>
      </c>
      <c r="E7" s="9">
        <v>3.7953994136695393</v>
      </c>
      <c r="F7" s="10">
        <v>708.14300000000003</v>
      </c>
      <c r="G7" s="4">
        <f t="shared" si="1"/>
        <v>-6.3274462720715532E-4</v>
      </c>
      <c r="I7" s="33"/>
      <c r="J7" s="7" t="s">
        <v>59</v>
      </c>
      <c r="K7" s="9">
        <v>216.38221847062465</v>
      </c>
      <c r="L7" s="10">
        <v>3602.123</v>
      </c>
      <c r="M7" s="9">
        <v>216.13564150369564</v>
      </c>
      <c r="N7" s="10">
        <v>3600.8249999999998</v>
      </c>
      <c r="O7" s="4">
        <f t="shared" si="0"/>
        <v>1.1395435755849183E-3</v>
      </c>
    </row>
    <row r="8" spans="1:15" x14ac:dyDescent="0.3">
      <c r="A8" s="33" t="s">
        <v>599</v>
      </c>
      <c r="B8" s="7" t="s">
        <v>55</v>
      </c>
      <c r="C8" s="9">
        <v>39.833758749796658</v>
      </c>
      <c r="D8" s="10">
        <v>3600.194</v>
      </c>
      <c r="E8" s="9">
        <v>40.118458749796645</v>
      </c>
      <c r="F8" s="10">
        <v>3600.4140000000002</v>
      </c>
      <c r="G8" s="4">
        <f t="shared" si="1"/>
        <v>-7.1472040032235212E-3</v>
      </c>
      <c r="I8" s="33" t="s">
        <v>592</v>
      </c>
      <c r="J8" s="7" t="s">
        <v>65</v>
      </c>
      <c r="K8" s="9">
        <v>617.15626248967908</v>
      </c>
      <c r="L8" s="10">
        <v>3600.951</v>
      </c>
      <c r="M8" s="9">
        <v>525.2524278292135</v>
      </c>
      <c r="N8" s="10">
        <v>3600.2510000000002</v>
      </c>
      <c r="O8" s="4">
        <f t="shared" si="0"/>
        <v>0.1489150159308357</v>
      </c>
    </row>
    <row r="9" spans="1:15" x14ac:dyDescent="0.3">
      <c r="A9" s="33"/>
      <c r="B9" s="7" t="s">
        <v>56</v>
      </c>
      <c r="C9" s="9">
        <v>41.767224227173052</v>
      </c>
      <c r="D9" s="10">
        <v>3600.1080000000002</v>
      </c>
      <c r="E9" s="9">
        <v>41.898026514197895</v>
      </c>
      <c r="F9" s="10">
        <v>3600.0569999999998</v>
      </c>
      <c r="G9" s="4">
        <f t="shared" si="1"/>
        <v>-3.1316969093613941E-3</v>
      </c>
      <c r="I9" s="33"/>
      <c r="J9" s="7" t="s">
        <v>66</v>
      </c>
      <c r="K9" s="9">
        <v>714.88367914656374</v>
      </c>
      <c r="L9" s="10">
        <v>3607.0819999999999</v>
      </c>
      <c r="M9" s="9">
        <v>630.57472931700363</v>
      </c>
      <c r="N9" s="10">
        <v>3600.527</v>
      </c>
      <c r="O9" s="4">
        <f t="shared" si="0"/>
        <v>0.11793380138459601</v>
      </c>
    </row>
    <row r="10" spans="1:15" x14ac:dyDescent="0.3">
      <c r="A10" s="33"/>
      <c r="B10" s="7" t="s">
        <v>57</v>
      </c>
      <c r="C10" s="9">
        <v>19.858726224054692</v>
      </c>
      <c r="D10" s="10">
        <v>3600.058</v>
      </c>
      <c r="E10" s="9">
        <v>19.868326224054695</v>
      </c>
      <c r="F10" s="10">
        <v>3600.5169999999998</v>
      </c>
      <c r="G10" s="4">
        <f t="shared" si="1"/>
        <v>-4.8341469093692946E-4</v>
      </c>
      <c r="I10" s="33"/>
      <c r="J10" s="7" t="s">
        <v>67</v>
      </c>
      <c r="K10" s="9">
        <v>528.17197590094327</v>
      </c>
      <c r="L10" s="10">
        <v>3601.277</v>
      </c>
      <c r="M10" s="9">
        <v>469.27501128934068</v>
      </c>
      <c r="N10" s="10">
        <v>3601.2370000000001</v>
      </c>
      <c r="O10" s="4">
        <f t="shared" si="0"/>
        <v>0.11151096101063963</v>
      </c>
    </row>
    <row r="11" spans="1:15" x14ac:dyDescent="0.3">
      <c r="A11" s="33"/>
      <c r="B11" s="7" t="s">
        <v>58</v>
      </c>
      <c r="C11" s="9">
        <v>23.115855568532133</v>
      </c>
      <c r="D11" s="10">
        <v>3600.7660000000001</v>
      </c>
      <c r="E11" s="9">
        <v>23.117820147610626</v>
      </c>
      <c r="F11" s="10">
        <v>3600.1170000000002</v>
      </c>
      <c r="G11" s="4">
        <f t="shared" si="1"/>
        <v>-8.4988378330551288E-5</v>
      </c>
      <c r="I11" s="33"/>
      <c r="J11" s="7" t="s">
        <v>68</v>
      </c>
      <c r="K11" s="9">
        <v>751.40585432762532</v>
      </c>
      <c r="L11" s="10">
        <v>3612.9830000000002</v>
      </c>
      <c r="M11" s="9">
        <v>677.61251058916673</v>
      </c>
      <c r="N11" s="10">
        <v>3600.9369999999999</v>
      </c>
      <c r="O11" s="4">
        <f t="shared" si="0"/>
        <v>9.8207038597657073E-2</v>
      </c>
    </row>
    <row r="12" spans="1:15" x14ac:dyDescent="0.3">
      <c r="A12" s="33"/>
      <c r="B12" s="7" t="s">
        <v>59</v>
      </c>
      <c r="C12" s="9">
        <v>34.167917464225027</v>
      </c>
      <c r="D12" s="10">
        <v>3600.085</v>
      </c>
      <c r="E12" s="9">
        <v>34.23259926627064</v>
      </c>
      <c r="F12" s="10">
        <v>3600.277</v>
      </c>
      <c r="G12" s="4">
        <f t="shared" si="1"/>
        <v>-1.8930566111714712E-3</v>
      </c>
      <c r="I12" s="33"/>
      <c r="J12" s="7" t="s">
        <v>69</v>
      </c>
      <c r="K12" s="9">
        <v>601.77079650144526</v>
      </c>
      <c r="L12" s="10">
        <v>3601.739</v>
      </c>
      <c r="M12" s="9">
        <v>533.85078008975802</v>
      </c>
      <c r="N12" s="10">
        <v>3606.3710000000001</v>
      </c>
      <c r="O12" s="4">
        <f t="shared" si="0"/>
        <v>0.11286692010738697</v>
      </c>
    </row>
    <row r="13" spans="1:15" x14ac:dyDescent="0.3">
      <c r="A13" s="33" t="s">
        <v>593</v>
      </c>
      <c r="B13" s="7" t="s">
        <v>60</v>
      </c>
      <c r="C13" s="9">
        <v>87.977597793632953</v>
      </c>
      <c r="D13" s="10">
        <v>3600.0929999999998</v>
      </c>
      <c r="E13" s="9">
        <v>87.71120226777964</v>
      </c>
      <c r="F13" s="10">
        <v>3600.5259999999998</v>
      </c>
      <c r="G13" s="4">
        <f t="shared" si="1"/>
        <v>3.0279927223995145E-3</v>
      </c>
      <c r="I13" s="33" t="s">
        <v>594</v>
      </c>
      <c r="J13" s="7" t="s">
        <v>75</v>
      </c>
      <c r="K13" s="9">
        <v>1208.5581307509215</v>
      </c>
      <c r="L13" s="10">
        <v>3601.0349999999999</v>
      </c>
      <c r="M13" s="9">
        <v>1208.5581307509215</v>
      </c>
      <c r="N13" s="10">
        <v>3602.0920000000001</v>
      </c>
      <c r="O13" s="4">
        <f t="shared" si="0"/>
        <v>0</v>
      </c>
    </row>
    <row r="14" spans="1:15" x14ac:dyDescent="0.3">
      <c r="A14" s="33"/>
      <c r="B14" s="7" t="s">
        <v>61</v>
      </c>
      <c r="C14" s="9">
        <v>75.04042152786279</v>
      </c>
      <c r="D14" s="10">
        <v>3600.08</v>
      </c>
      <c r="E14" s="9">
        <v>75.236867826458607</v>
      </c>
      <c r="F14" s="10">
        <v>3600.5230000000001</v>
      </c>
      <c r="G14" s="4">
        <f t="shared" si="1"/>
        <v>-2.6178730688882815E-3</v>
      </c>
      <c r="I14" s="33"/>
      <c r="J14" s="7" t="s">
        <v>76</v>
      </c>
      <c r="K14" s="9">
        <v>1343.8725247922441</v>
      </c>
      <c r="L14" s="10">
        <v>3660.9349999999999</v>
      </c>
      <c r="M14" s="9">
        <v>1186.7271707572488</v>
      </c>
      <c r="N14" s="10">
        <v>3601.462</v>
      </c>
      <c r="O14" s="4">
        <f t="shared" si="0"/>
        <v>0.11693471749434656</v>
      </c>
    </row>
    <row r="15" spans="1:15" x14ac:dyDescent="0.3">
      <c r="A15" s="33"/>
      <c r="B15" s="7" t="s">
        <v>62</v>
      </c>
      <c r="C15" s="9">
        <v>85.580124037721163</v>
      </c>
      <c r="D15" s="10">
        <v>3600.6480000000001</v>
      </c>
      <c r="E15" s="9">
        <v>78.281067711821493</v>
      </c>
      <c r="F15" s="10">
        <v>3600.2649999999999</v>
      </c>
      <c r="G15" s="4">
        <f t="shared" si="1"/>
        <v>8.5289153386625891E-2</v>
      </c>
      <c r="I15" s="33"/>
      <c r="J15" s="7" t="s">
        <v>77</v>
      </c>
      <c r="K15" s="9">
        <v>1179.3138144186501</v>
      </c>
      <c r="L15" s="10">
        <v>3600.8209999999999</v>
      </c>
      <c r="M15" s="9">
        <v>1031.6821416486048</v>
      </c>
      <c r="N15" s="10">
        <v>3601.6889999999999</v>
      </c>
      <c r="O15" s="4">
        <f t="shared" si="0"/>
        <v>0.12518438346524519</v>
      </c>
    </row>
    <row r="16" spans="1:15" x14ac:dyDescent="0.3">
      <c r="A16" s="33"/>
      <c r="B16" s="7" t="s">
        <v>63</v>
      </c>
      <c r="C16" s="9">
        <v>82.049848009066338</v>
      </c>
      <c r="D16" s="10">
        <v>3600.509</v>
      </c>
      <c r="E16" s="9">
        <v>79.823886337707364</v>
      </c>
      <c r="F16" s="10">
        <v>3600.5659999999998</v>
      </c>
      <c r="G16" s="4">
        <f t="shared" si="1"/>
        <v>2.7129382020464065E-2</v>
      </c>
      <c r="I16" s="33"/>
      <c r="J16" s="7" t="s">
        <v>78</v>
      </c>
      <c r="K16" s="9">
        <v>1204.6246490867941</v>
      </c>
      <c r="L16" s="10">
        <v>3603.5540000000001</v>
      </c>
      <c r="M16" s="9">
        <v>1103.9327734666153</v>
      </c>
      <c r="N16" s="10">
        <v>3600.875</v>
      </c>
      <c r="O16" s="4">
        <f t="shared" si="0"/>
        <v>8.3587759636590181E-2</v>
      </c>
    </row>
    <row r="17" spans="1:15" x14ac:dyDescent="0.3">
      <c r="A17" s="33"/>
      <c r="B17" s="7" t="s">
        <v>64</v>
      </c>
      <c r="C17" s="9">
        <v>74.560326357414041</v>
      </c>
      <c r="D17" s="10">
        <v>3600.181</v>
      </c>
      <c r="E17" s="9">
        <v>63.492378102066596</v>
      </c>
      <c r="F17" s="10">
        <v>3600.0540000000001</v>
      </c>
      <c r="G17" s="4">
        <f t="shared" si="1"/>
        <v>0.14844286225749445</v>
      </c>
      <c r="I17" s="33"/>
      <c r="J17" s="7" t="s">
        <v>79</v>
      </c>
      <c r="K17" s="9">
        <v>1279.1086280841514</v>
      </c>
      <c r="L17" s="10">
        <v>3608.819</v>
      </c>
      <c r="M17" s="9">
        <v>1192.9265569658357</v>
      </c>
      <c r="N17" s="10">
        <v>3602.0509999999999</v>
      </c>
      <c r="O17" s="4">
        <f t="shared" si="0"/>
        <v>6.7376663112185514E-2</v>
      </c>
    </row>
    <row r="18" spans="1:15" x14ac:dyDescent="0.3">
      <c r="A18" s="33" t="s">
        <v>592</v>
      </c>
      <c r="B18" s="7" t="s">
        <v>65</v>
      </c>
      <c r="C18" s="9">
        <v>95.2872019031946</v>
      </c>
      <c r="D18" s="10">
        <v>3600.232</v>
      </c>
      <c r="E18" s="9">
        <v>96.057852332269405</v>
      </c>
      <c r="F18" s="10">
        <v>3600.7579999999998</v>
      </c>
      <c r="G18" s="4">
        <f t="shared" si="1"/>
        <v>-8.0876593465063103E-3</v>
      </c>
      <c r="I18" s="33" t="s">
        <v>595</v>
      </c>
      <c r="J18" s="7" t="s">
        <v>80</v>
      </c>
      <c r="K18" s="9">
        <v>1876.6927050365066</v>
      </c>
      <c r="L18" s="10">
        <v>3602.0929999999998</v>
      </c>
      <c r="M18" s="9">
        <v>1811.8662396472282</v>
      </c>
      <c r="N18" s="10">
        <v>3602.6869999999999</v>
      </c>
      <c r="O18" s="4">
        <f t="shared" si="0"/>
        <v>3.4542930345123998E-2</v>
      </c>
    </row>
    <row r="19" spans="1:15" x14ac:dyDescent="0.3">
      <c r="A19" s="33"/>
      <c r="B19" s="7" t="s">
        <v>66</v>
      </c>
      <c r="C19" s="9">
        <v>107.79787016615427</v>
      </c>
      <c r="D19" s="10">
        <v>3600.0680000000002</v>
      </c>
      <c r="E19" s="9">
        <v>103.75426744136814</v>
      </c>
      <c r="F19" s="10">
        <v>3601.009</v>
      </c>
      <c r="G19" s="4">
        <f t="shared" si="1"/>
        <v>3.7510970472362008E-2</v>
      </c>
      <c r="I19" s="33"/>
      <c r="J19" s="7" t="s">
        <v>81</v>
      </c>
      <c r="K19" s="9">
        <v>1758.836151631021</v>
      </c>
      <c r="L19" s="10">
        <v>3600.7829999999999</v>
      </c>
      <c r="M19" s="9">
        <v>1699.0113713965643</v>
      </c>
      <c r="N19" s="10">
        <v>3601.9459999999999</v>
      </c>
      <c r="O19" s="4">
        <f t="shared" si="0"/>
        <v>3.4013844995725975E-2</v>
      </c>
    </row>
    <row r="20" spans="1:15" x14ac:dyDescent="0.3">
      <c r="A20" s="33"/>
      <c r="B20" s="7" t="s">
        <v>67</v>
      </c>
      <c r="C20" s="9">
        <v>100.47303179399104</v>
      </c>
      <c r="D20" s="10">
        <v>3600.8420000000001</v>
      </c>
      <c r="E20" s="9">
        <v>96.89826578643283</v>
      </c>
      <c r="F20" s="10">
        <v>3600.3589999999999</v>
      </c>
      <c r="G20" s="4">
        <f t="shared" si="1"/>
        <v>3.5579358398260312E-2</v>
      </c>
      <c r="I20" s="33"/>
      <c r="J20" s="7" t="s">
        <v>82</v>
      </c>
      <c r="K20" s="9">
        <v>1760.3597205377405</v>
      </c>
      <c r="L20" s="10">
        <v>3601.886</v>
      </c>
      <c r="M20" s="9">
        <v>1697.601469307665</v>
      </c>
      <c r="N20" s="10">
        <v>3602.098</v>
      </c>
      <c r="O20" s="4">
        <f t="shared" si="0"/>
        <v>3.5650810739355387E-2</v>
      </c>
    </row>
    <row r="21" spans="1:15" x14ac:dyDescent="0.3">
      <c r="A21" s="33"/>
      <c r="B21" s="7" t="s">
        <v>68</v>
      </c>
      <c r="C21" s="9">
        <v>108.49097012380952</v>
      </c>
      <c r="D21" s="10">
        <v>3600.0680000000002</v>
      </c>
      <c r="E21" s="9">
        <v>99.010361511311643</v>
      </c>
      <c r="F21" s="10">
        <v>3600.2260000000001</v>
      </c>
      <c r="G21" s="4">
        <f t="shared" si="1"/>
        <v>8.7386153904593505E-2</v>
      </c>
      <c r="I21" s="33"/>
      <c r="J21" s="7" t="s">
        <v>83</v>
      </c>
      <c r="K21" s="9">
        <v>1784.420821272503</v>
      </c>
      <c r="L21" s="10">
        <v>3601.0909999999999</v>
      </c>
      <c r="M21" s="9">
        <v>1617.1771751392848</v>
      </c>
      <c r="N21" s="10">
        <v>3602.1840000000002</v>
      </c>
      <c r="O21" s="4">
        <f t="shared" si="0"/>
        <v>9.3724330124075578E-2</v>
      </c>
    </row>
    <row r="22" spans="1:15" x14ac:dyDescent="0.3">
      <c r="A22" s="33"/>
      <c r="B22" s="7" t="s">
        <v>69</v>
      </c>
      <c r="C22" s="9">
        <v>120.55877081221855</v>
      </c>
      <c r="D22" s="10">
        <v>3600.0889999999999</v>
      </c>
      <c r="E22" s="9">
        <v>107.9504301020327</v>
      </c>
      <c r="F22" s="10">
        <v>3600.366</v>
      </c>
      <c r="G22" s="4">
        <f t="shared" si="1"/>
        <v>0.10458252539605363</v>
      </c>
      <c r="I22" s="33"/>
      <c r="J22" s="7" t="s">
        <v>84</v>
      </c>
      <c r="K22" s="9">
        <v>1910.9345525690005</v>
      </c>
      <c r="L22" s="10">
        <v>3601.6149999999998</v>
      </c>
      <c r="M22" s="9">
        <v>1837.4136781124437</v>
      </c>
      <c r="N22" s="10">
        <v>3602.0349999999999</v>
      </c>
      <c r="O22" s="4">
        <f t="shared" si="0"/>
        <v>3.8473779417362922E-2</v>
      </c>
    </row>
    <row r="23" spans="1:15" x14ac:dyDescent="0.3">
      <c r="A23" s="33" t="s">
        <v>596</v>
      </c>
      <c r="B23" s="7" t="s">
        <v>70</v>
      </c>
      <c r="C23" s="9">
        <v>115.84930425941576</v>
      </c>
      <c r="D23" s="10">
        <v>3600.2060000000001</v>
      </c>
      <c r="E23" s="9">
        <v>112.44468498811091</v>
      </c>
      <c r="F23" s="10">
        <v>3600.922</v>
      </c>
      <c r="G23" s="4">
        <f t="shared" si="1"/>
        <v>2.9388344565980759E-2</v>
      </c>
      <c r="I23" s="33" t="s">
        <v>597</v>
      </c>
      <c r="J23" s="7" t="s">
        <v>85</v>
      </c>
      <c r="K23" s="9">
        <v>2624.2877471526199</v>
      </c>
      <c r="L23" s="10">
        <v>3601.87</v>
      </c>
      <c r="M23" s="9">
        <v>2530.4166491521605</v>
      </c>
      <c r="N23" s="10">
        <v>3601.7660000000001</v>
      </c>
      <c r="O23" s="4">
        <f t="shared" si="0"/>
        <v>3.5770123951655269E-2</v>
      </c>
    </row>
    <row r="24" spans="1:15" x14ac:dyDescent="0.3">
      <c r="A24" s="33"/>
      <c r="B24" s="7" t="s">
        <v>71</v>
      </c>
      <c r="C24" s="9">
        <v>140.0327761318037</v>
      </c>
      <c r="D24" s="10">
        <v>3600.1030000000001</v>
      </c>
      <c r="E24" s="9">
        <v>136.135364351471</v>
      </c>
      <c r="F24" s="10">
        <v>3600.1</v>
      </c>
      <c r="G24" s="4">
        <f t="shared" si="1"/>
        <v>2.7832139646109168E-2</v>
      </c>
      <c r="I24" s="33"/>
      <c r="J24" s="7" t="s">
        <v>86</v>
      </c>
      <c r="K24" s="9">
        <v>2472.899430628936</v>
      </c>
      <c r="L24" s="10">
        <v>3601.5239999999999</v>
      </c>
      <c r="M24" s="9">
        <v>2444.015455984334</v>
      </c>
      <c r="N24" s="10">
        <v>3602.328</v>
      </c>
      <c r="O24" s="4">
        <f t="shared" si="0"/>
        <v>1.1680205950492635E-2</v>
      </c>
    </row>
    <row r="25" spans="1:15" x14ac:dyDescent="0.3">
      <c r="A25" s="33"/>
      <c r="B25" s="7" t="s">
        <v>72</v>
      </c>
      <c r="C25" s="9">
        <v>116.44529368534347</v>
      </c>
      <c r="D25" s="10">
        <v>3600.4319999999998</v>
      </c>
      <c r="E25" s="9">
        <v>112.49228066462901</v>
      </c>
      <c r="F25" s="10">
        <v>3600.2069999999999</v>
      </c>
      <c r="G25" s="4">
        <f t="shared" si="1"/>
        <v>3.3947383321443897E-2</v>
      </c>
      <c r="I25" s="33"/>
      <c r="J25" s="7" t="s">
        <v>87</v>
      </c>
      <c r="K25" s="9">
        <v>2421.0646034384959</v>
      </c>
      <c r="L25" s="10">
        <v>3601.3910000000001</v>
      </c>
      <c r="M25" s="9">
        <v>2322.5820588080342</v>
      </c>
      <c r="N25" s="10">
        <v>3669.4569999999999</v>
      </c>
      <c r="O25" s="4">
        <f t="shared" si="0"/>
        <v>4.0677371636672857E-2</v>
      </c>
    </row>
    <row r="26" spans="1:15" x14ac:dyDescent="0.3">
      <c r="A26" s="33"/>
      <c r="B26" s="7" t="s">
        <v>73</v>
      </c>
      <c r="C26" s="9">
        <v>133.51281268459496</v>
      </c>
      <c r="D26" s="10">
        <v>3600.61</v>
      </c>
      <c r="E26" s="9">
        <v>128.2387680792381</v>
      </c>
      <c r="F26" s="10">
        <v>3600.8919999999998</v>
      </c>
      <c r="G26" s="4">
        <f t="shared" si="1"/>
        <v>3.9502160873623744E-2</v>
      </c>
      <c r="I26" s="33"/>
      <c r="J26" s="7" t="s">
        <v>88</v>
      </c>
      <c r="K26" s="9">
        <v>2594.4888374727238</v>
      </c>
      <c r="L26" s="10">
        <v>3621.7159999999999</v>
      </c>
      <c r="M26" s="9">
        <v>2497.0165783656589</v>
      </c>
      <c r="N26" s="10">
        <v>3602.1419999999998</v>
      </c>
      <c r="O26" s="4">
        <f t="shared" si="0"/>
        <v>3.7568964529449307E-2</v>
      </c>
    </row>
    <row r="27" spans="1:15" x14ac:dyDescent="0.3">
      <c r="A27" s="33"/>
      <c r="B27" s="7" t="s">
        <v>74</v>
      </c>
      <c r="C27" s="9">
        <v>163.40759993350167</v>
      </c>
      <c r="D27" s="10">
        <v>3600.672</v>
      </c>
      <c r="E27" s="9">
        <v>164.89065281409654</v>
      </c>
      <c r="F27" s="10">
        <v>3600.3919999999998</v>
      </c>
      <c r="G27" s="4">
        <f t="shared" si="1"/>
        <v>-9.0757888935300048E-3</v>
      </c>
      <c r="I27" s="33"/>
      <c r="J27" s="7" t="s">
        <v>89</v>
      </c>
      <c r="K27" s="9">
        <v>2528.6291866627716</v>
      </c>
      <c r="L27" s="10">
        <v>3601.7539999999999</v>
      </c>
      <c r="M27" s="9">
        <v>2337.4109040825592</v>
      </c>
      <c r="N27" s="10">
        <v>3602.127</v>
      </c>
      <c r="O27" s="4">
        <f t="shared" si="0"/>
        <v>7.5621322251910747E-2</v>
      </c>
    </row>
  </sheetData>
  <mergeCells count="16">
    <mergeCell ref="M1:N1"/>
    <mergeCell ref="C1:D1"/>
    <mergeCell ref="E1:F1"/>
    <mergeCell ref="I23:I27"/>
    <mergeCell ref="A18:A22"/>
    <mergeCell ref="A23:A27"/>
    <mergeCell ref="I3:I7"/>
    <mergeCell ref="I8:I12"/>
    <mergeCell ref="I13:I17"/>
    <mergeCell ref="I18:I22"/>
    <mergeCell ref="A13:A17"/>
    <mergeCell ref="A1:B1"/>
    <mergeCell ref="A3:A7"/>
    <mergeCell ref="A8:A12"/>
    <mergeCell ref="I1:J1"/>
    <mergeCell ref="K1:L1"/>
  </mergeCells>
  <phoneticPr fontId="2" type="noConversion"/>
  <conditionalFormatting sqref="G3:G27 O3:O27">
    <cfRule type="cellIs" dxfId="14" priority="1" operator="greaterThan">
      <formula>-0.0000001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40E1-E085-4680-94F6-023EF3C1948D}">
  <dimension ref="A1:T57"/>
  <sheetViews>
    <sheetView topLeftCell="A19" workbookViewId="0">
      <selection activeCell="T16" sqref="T16"/>
    </sheetView>
  </sheetViews>
  <sheetFormatPr defaultRowHeight="14" x14ac:dyDescent="0.3"/>
  <cols>
    <col min="1" max="1" width="21.58203125" bestFit="1" customWidth="1"/>
    <col min="2" max="2" width="8.6640625" bestFit="1" customWidth="1"/>
    <col min="3" max="3" width="12.33203125" bestFit="1" customWidth="1"/>
    <col min="4" max="4" width="9.1640625" bestFit="1" customWidth="1"/>
    <col min="5" max="5" width="6.5" bestFit="1" customWidth="1"/>
    <col min="6" max="6" width="12.33203125" bestFit="1" customWidth="1"/>
    <col min="7" max="7" width="9.1640625" bestFit="1" customWidth="1"/>
    <col min="8" max="8" width="12.33203125" bestFit="1" customWidth="1"/>
    <col min="9" max="9" width="9.1640625" bestFit="1" customWidth="1"/>
    <col min="10" max="10" width="12.58203125" bestFit="1" customWidth="1"/>
    <col min="11" max="11" width="12.1640625" bestFit="1" customWidth="1"/>
    <col min="13" max="13" width="21.58203125" bestFit="1" customWidth="1"/>
    <col min="15" max="15" width="12.33203125" bestFit="1" customWidth="1"/>
    <col min="16" max="16" width="9.1640625" bestFit="1" customWidth="1"/>
    <col min="17" max="17" width="6.5" bestFit="1" customWidth="1"/>
    <col min="18" max="18" width="12.33203125" bestFit="1" customWidth="1"/>
    <col min="19" max="19" width="9.1640625" bestFit="1" customWidth="1"/>
    <col min="20" max="20" width="12.33203125" bestFit="1" customWidth="1"/>
    <col min="21" max="21" width="9.1640625" bestFit="1" customWidth="1"/>
    <col min="22" max="22" width="12.58203125" bestFit="1" customWidth="1"/>
    <col min="23" max="23" width="12.1640625" bestFit="1" customWidth="1"/>
  </cols>
  <sheetData>
    <row r="1" spans="1:20" x14ac:dyDescent="0.3">
      <c r="A1" s="33" t="s">
        <v>807</v>
      </c>
      <c r="B1" s="33"/>
      <c r="C1" s="33" t="s">
        <v>39</v>
      </c>
      <c r="D1" s="33"/>
      <c r="E1" s="33"/>
      <c r="F1" s="33" t="s">
        <v>40</v>
      </c>
      <c r="G1" s="33"/>
      <c r="M1" s="33" t="s">
        <v>808</v>
      </c>
      <c r="N1" s="33"/>
      <c r="O1" s="33" t="s">
        <v>39</v>
      </c>
      <c r="P1" s="33"/>
      <c r="Q1" s="33"/>
      <c r="R1" s="33" t="s">
        <v>40</v>
      </c>
      <c r="S1" s="33"/>
    </row>
    <row r="2" spans="1:20" x14ac:dyDescent="0.3">
      <c r="A2" s="7" t="s">
        <v>38</v>
      </c>
      <c r="B2" s="7" t="s">
        <v>37</v>
      </c>
      <c r="C2" s="7" t="s">
        <v>7</v>
      </c>
      <c r="D2" s="7" t="s">
        <v>11</v>
      </c>
      <c r="E2" s="7" t="s">
        <v>92</v>
      </c>
      <c r="F2" s="7" t="s">
        <v>7</v>
      </c>
      <c r="G2" s="7" t="s">
        <v>11</v>
      </c>
      <c r="H2" s="7" t="s">
        <v>591</v>
      </c>
      <c r="K2" s="7"/>
      <c r="M2" s="11" t="s">
        <v>38</v>
      </c>
      <c r="N2" s="11" t="s">
        <v>37</v>
      </c>
      <c r="O2" s="11" t="s">
        <v>7</v>
      </c>
      <c r="P2" s="11" t="s">
        <v>11</v>
      </c>
      <c r="Q2" s="11" t="s">
        <v>92</v>
      </c>
      <c r="R2" s="11" t="s">
        <v>7</v>
      </c>
      <c r="S2" s="11" t="s">
        <v>11</v>
      </c>
      <c r="T2" s="11" t="s">
        <v>591</v>
      </c>
    </row>
    <row r="3" spans="1:20" x14ac:dyDescent="0.3">
      <c r="A3" s="33" t="s">
        <v>598</v>
      </c>
      <c r="B3" s="7" t="s">
        <v>50</v>
      </c>
      <c r="C3" s="7">
        <v>19.113158371209611</v>
      </c>
      <c r="D3" s="7">
        <v>2.3029999999999999</v>
      </c>
      <c r="E3" s="4">
        <v>0</v>
      </c>
      <c r="F3" s="7">
        <v>19.120358371209612</v>
      </c>
      <c r="G3" s="7">
        <v>784.38</v>
      </c>
      <c r="H3" s="4">
        <f t="shared" ref="H3:H27" si="0">IFERROR((C3-F3)/C3,"-")</f>
        <v>-3.7670383199704102E-4</v>
      </c>
      <c r="K3" s="4"/>
      <c r="M3" s="33" t="s">
        <v>599</v>
      </c>
      <c r="N3" s="7" t="s">
        <v>55</v>
      </c>
      <c r="O3" s="7">
        <v>3871.6275880056887</v>
      </c>
      <c r="P3" s="7">
        <v>3605.31</v>
      </c>
      <c r="Q3" s="4">
        <v>0.98971554215165969</v>
      </c>
      <c r="R3" s="7">
        <v>225.10988662137976</v>
      </c>
      <c r="S3" s="7">
        <v>3602.3449999999998</v>
      </c>
      <c r="T3" s="4">
        <f t="shared" ref="T3:T27" si="1">IFERROR((O3-R3)/O3,"-")</f>
        <v>0.94185652377342011</v>
      </c>
    </row>
    <row r="4" spans="1:20" x14ac:dyDescent="0.3">
      <c r="A4" s="33"/>
      <c r="B4" s="7" t="s">
        <v>51</v>
      </c>
      <c r="C4" s="7">
        <v>22.152430125032964</v>
      </c>
      <c r="D4" s="7">
        <v>4.9210000000000003</v>
      </c>
      <c r="E4" s="4">
        <v>0</v>
      </c>
      <c r="F4" s="7">
        <v>22.152430125032968</v>
      </c>
      <c r="G4" s="7">
        <v>1784.1759999999999</v>
      </c>
      <c r="H4" s="4">
        <f t="shared" si="0"/>
        <v>-1.6037579889647497E-16</v>
      </c>
      <c r="K4" s="4"/>
      <c r="M4" s="33"/>
      <c r="N4" s="7" t="s">
        <v>56</v>
      </c>
      <c r="O4" s="7">
        <v>300.12227220326088</v>
      </c>
      <c r="P4" s="7">
        <v>3605.027</v>
      </c>
      <c r="Q4" s="4">
        <v>0.49660646416000853</v>
      </c>
      <c r="R4" s="7">
        <v>238.98936419206723</v>
      </c>
      <c r="S4" s="7">
        <v>3601.4760000000001</v>
      </c>
      <c r="T4" s="4">
        <f t="shared" si="1"/>
        <v>0.20369333992577118</v>
      </c>
    </row>
    <row r="5" spans="1:20" x14ac:dyDescent="0.3">
      <c r="A5" s="33"/>
      <c r="B5" s="7" t="s">
        <v>52</v>
      </c>
      <c r="C5" s="7">
        <v>2.3320333963418576</v>
      </c>
      <c r="D5" s="7">
        <v>0.90700000000000003</v>
      </c>
      <c r="E5" s="4">
        <v>0</v>
      </c>
      <c r="F5" s="7">
        <v>2.3320333963418576</v>
      </c>
      <c r="G5" s="7">
        <v>135.89400000000001</v>
      </c>
      <c r="H5" s="4">
        <f t="shared" si="0"/>
        <v>0</v>
      </c>
      <c r="K5" s="4"/>
      <c r="M5" s="33"/>
      <c r="N5" s="7" t="s">
        <v>57</v>
      </c>
      <c r="O5" s="7">
        <v>119.32010848375801</v>
      </c>
      <c r="P5" s="7">
        <v>3605.2429999999999</v>
      </c>
      <c r="Q5" s="4">
        <v>8.0908802167131588E-2</v>
      </c>
      <c r="R5" s="7">
        <v>123.24506749593867</v>
      </c>
      <c r="S5" s="7">
        <v>3600.4070000000002</v>
      </c>
      <c r="T5" s="4">
        <f t="shared" si="1"/>
        <v>-3.289436342336996E-2</v>
      </c>
    </row>
    <row r="6" spans="1:20" x14ac:dyDescent="0.3">
      <c r="A6" s="33"/>
      <c r="B6" s="7" t="s">
        <v>53</v>
      </c>
      <c r="C6" s="7">
        <v>3.968250290840007</v>
      </c>
      <c r="D6" s="7">
        <v>2.5099999999999998</v>
      </c>
      <c r="E6" s="4">
        <v>0</v>
      </c>
      <c r="F6" s="7">
        <v>3.9682502908400066</v>
      </c>
      <c r="G6" s="7">
        <v>750.221</v>
      </c>
      <c r="H6" s="4">
        <f t="shared" si="0"/>
        <v>1.1191058459068541E-16</v>
      </c>
      <c r="K6" s="4"/>
      <c r="M6" s="33"/>
      <c r="N6" s="7" t="s">
        <v>58</v>
      </c>
      <c r="O6" s="7">
        <v>123.83911959795853</v>
      </c>
      <c r="P6" s="7">
        <v>3606.4789999999998</v>
      </c>
      <c r="Q6" s="4">
        <v>7.9172236703176774E-2</v>
      </c>
      <c r="R6" s="7">
        <v>127.98914761587699</v>
      </c>
      <c r="S6" s="7">
        <v>3600.2559999999999</v>
      </c>
      <c r="T6" s="4">
        <f t="shared" si="1"/>
        <v>-3.3511446394252881E-2</v>
      </c>
    </row>
    <row r="7" spans="1:20" x14ac:dyDescent="0.3">
      <c r="A7" s="33"/>
      <c r="B7" s="7" t="s">
        <v>54</v>
      </c>
      <c r="C7" s="7">
        <v>3.7929994136695395</v>
      </c>
      <c r="D7" s="7">
        <v>1.538</v>
      </c>
      <c r="E7" s="4">
        <v>0</v>
      </c>
      <c r="F7" s="7">
        <v>3.7953994136695393</v>
      </c>
      <c r="G7" s="7">
        <v>708.14300000000003</v>
      </c>
      <c r="H7" s="4">
        <f t="shared" si="0"/>
        <v>-6.3274462720727242E-4</v>
      </c>
      <c r="K7" s="4"/>
      <c r="M7" s="33"/>
      <c r="N7" s="7" t="s">
        <v>59</v>
      </c>
      <c r="O7" s="7">
        <v>3862.8415668764387</v>
      </c>
      <c r="P7" s="7">
        <v>3605.5889999999999</v>
      </c>
      <c r="Q7" s="4">
        <v>0.98817092856988731</v>
      </c>
      <c r="R7" s="7">
        <v>216.13564150369564</v>
      </c>
      <c r="S7" s="7">
        <v>3600.8249999999998</v>
      </c>
      <c r="T7" s="4">
        <f t="shared" si="1"/>
        <v>0.94404750032798601</v>
      </c>
    </row>
    <row r="8" spans="1:20" x14ac:dyDescent="0.3">
      <c r="A8" s="33" t="s">
        <v>599</v>
      </c>
      <c r="B8" s="7" t="s">
        <v>55</v>
      </c>
      <c r="C8" s="7">
        <v>39.75575014615066</v>
      </c>
      <c r="D8" s="7">
        <v>3601.355</v>
      </c>
      <c r="E8" s="4">
        <v>9.0671677550743519E-4</v>
      </c>
      <c r="F8" s="7">
        <v>40.118458749796645</v>
      </c>
      <c r="G8" s="7">
        <v>3600.4140000000002</v>
      </c>
      <c r="H8" s="4">
        <f t="shared" si="0"/>
        <v>-9.1234249715472539E-3</v>
      </c>
      <c r="K8" s="4"/>
      <c r="M8" s="33" t="s">
        <v>592</v>
      </c>
      <c r="N8" s="7" t="s">
        <v>65</v>
      </c>
      <c r="O8" s="4" t="str">
        <f>IFERROR((#REF!-#REF!)/#REF!,"-")</f>
        <v>-</v>
      </c>
      <c r="P8" s="4" t="str">
        <f>IFERROR((#REF!-#REF!)/#REF!,"-")</f>
        <v>-</v>
      </c>
      <c r="Q8" s="4"/>
      <c r="R8" s="7">
        <v>525.2524278292135</v>
      </c>
      <c r="S8" s="7">
        <v>3600.2510000000002</v>
      </c>
      <c r="T8" s="4" t="str">
        <f t="shared" si="1"/>
        <v>-</v>
      </c>
    </row>
    <row r="9" spans="1:20" x14ac:dyDescent="0.3">
      <c r="A9" s="33"/>
      <c r="B9" s="7" t="s">
        <v>56</v>
      </c>
      <c r="C9" s="7">
        <v>41.555424227173049</v>
      </c>
      <c r="D9" s="7">
        <v>207.953</v>
      </c>
      <c r="E9" s="4">
        <v>8.2186408665249551E-5</v>
      </c>
      <c r="F9" s="7">
        <v>41.898026514197895</v>
      </c>
      <c r="G9" s="7">
        <v>3600.0569999999998</v>
      </c>
      <c r="H9" s="4">
        <f t="shared" si="0"/>
        <v>-8.2444661171529737E-3</v>
      </c>
      <c r="K9" s="4"/>
      <c r="M9" s="33"/>
      <c r="N9" s="7" t="s">
        <v>66</v>
      </c>
      <c r="O9" s="4" t="str">
        <f t="shared" ref="O9" si="2">IFERROR((#REF!-#REF!)/#REF!,"-")</f>
        <v>-</v>
      </c>
      <c r="P9" s="4" t="str">
        <f t="shared" ref="P9" si="3">IFERROR((#REF!-#REF!)/#REF!,"-")</f>
        <v>-</v>
      </c>
      <c r="Q9" s="4"/>
      <c r="R9" s="7">
        <v>630.57472931700363</v>
      </c>
      <c r="S9" s="7">
        <v>3600.527</v>
      </c>
      <c r="T9" s="4" t="str">
        <f t="shared" si="1"/>
        <v>-</v>
      </c>
    </row>
    <row r="10" spans="1:20" x14ac:dyDescent="0.3">
      <c r="A10" s="33"/>
      <c r="B10" s="7" t="s">
        <v>57</v>
      </c>
      <c r="C10" s="7">
        <v>19.740402093227388</v>
      </c>
      <c r="D10" s="7">
        <v>820.41899999999998</v>
      </c>
      <c r="E10" s="4">
        <v>0</v>
      </c>
      <c r="F10" s="7">
        <v>19.868326224054695</v>
      </c>
      <c r="G10" s="7">
        <v>3600.5169999999998</v>
      </c>
      <c r="H10" s="4">
        <f t="shared" si="0"/>
        <v>-6.4803204222063527E-3</v>
      </c>
      <c r="K10" s="4"/>
      <c r="M10" s="33"/>
      <c r="N10" s="7" t="s">
        <v>67</v>
      </c>
      <c r="O10" s="4" t="str">
        <f t="shared" ref="O10" si="4">IFERROR((#REF!-#REF!)/#REF!,"-")</f>
        <v>-</v>
      </c>
      <c r="P10" s="4" t="str">
        <f t="shared" ref="P10" si="5">IFERROR((#REF!-#REF!)/#REF!,"-")</f>
        <v>-</v>
      </c>
      <c r="Q10" s="4"/>
      <c r="R10" s="7">
        <v>469.27501128934068</v>
      </c>
      <c r="S10" s="7">
        <v>3601.2370000000001</v>
      </c>
      <c r="T10" s="4" t="str">
        <f t="shared" si="1"/>
        <v>-</v>
      </c>
    </row>
    <row r="11" spans="1:20" x14ac:dyDescent="0.3">
      <c r="A11" s="33"/>
      <c r="B11" s="7" t="s">
        <v>58</v>
      </c>
      <c r="C11" s="7">
        <v>22.758820843048195</v>
      </c>
      <c r="D11" s="7">
        <v>3601.018</v>
      </c>
      <c r="E11" s="4">
        <v>4.9312486298519831E-3</v>
      </c>
      <c r="F11" s="7">
        <v>23.117820147610626</v>
      </c>
      <c r="G11" s="7">
        <v>3600.1170000000002</v>
      </c>
      <c r="H11" s="4">
        <f t="shared" si="0"/>
        <v>-1.5774073140177182E-2</v>
      </c>
      <c r="K11" s="4"/>
      <c r="M11" s="33"/>
      <c r="N11" s="7" t="s">
        <v>68</v>
      </c>
      <c r="O11" s="4" t="str">
        <f t="shared" ref="O11" si="6">IFERROR((#REF!-#REF!)/#REF!,"-")</f>
        <v>-</v>
      </c>
      <c r="P11" s="4" t="str">
        <f t="shared" ref="P11" si="7">IFERROR((#REF!-#REF!)/#REF!,"-")</f>
        <v>-</v>
      </c>
      <c r="Q11" s="4"/>
      <c r="R11" s="7">
        <v>677.61251058916673</v>
      </c>
      <c r="S11" s="7">
        <v>3600.9369999999999</v>
      </c>
      <c r="T11" s="4" t="str">
        <f t="shared" si="1"/>
        <v>-</v>
      </c>
    </row>
    <row r="12" spans="1:20" x14ac:dyDescent="0.3">
      <c r="A12" s="33"/>
      <c r="B12" s="7" t="s">
        <v>59</v>
      </c>
      <c r="C12" s="7">
        <v>34.061136441961978</v>
      </c>
      <c r="D12" s="7">
        <v>3601.0390000000002</v>
      </c>
      <c r="E12" s="4">
        <v>4.2144084673436605E-3</v>
      </c>
      <c r="F12" s="7">
        <v>34.23259926627064</v>
      </c>
      <c r="G12" s="7">
        <v>3600.277</v>
      </c>
      <c r="H12" s="4">
        <f t="shared" si="0"/>
        <v>-5.0339725041418986E-3</v>
      </c>
      <c r="K12" s="4"/>
      <c r="M12" s="33"/>
      <c r="N12" s="7" t="s">
        <v>69</v>
      </c>
      <c r="O12" s="4" t="str">
        <f t="shared" ref="O12" si="8">IFERROR((#REF!-#REF!)/#REF!,"-")</f>
        <v>-</v>
      </c>
      <c r="P12" s="4" t="str">
        <f t="shared" ref="P12" si="9">IFERROR((#REF!-#REF!)/#REF!,"-")</f>
        <v>-</v>
      </c>
      <c r="Q12" s="4"/>
      <c r="R12" s="7">
        <v>533.85078008975802</v>
      </c>
      <c r="S12" s="7">
        <v>3606.3710000000001</v>
      </c>
      <c r="T12" s="4" t="str">
        <f t="shared" si="1"/>
        <v>-</v>
      </c>
    </row>
    <row r="13" spans="1:20" x14ac:dyDescent="0.3">
      <c r="A13" s="33" t="s">
        <v>593</v>
      </c>
      <c r="B13" s="7" t="s">
        <v>60</v>
      </c>
      <c r="C13" s="7">
        <v>1014.7879161034551</v>
      </c>
      <c r="D13" s="7">
        <v>3603.576</v>
      </c>
      <c r="E13" s="4">
        <v>0.93890347617094894</v>
      </c>
      <c r="F13" s="7">
        <v>87.71120226777964</v>
      </c>
      <c r="G13" s="7">
        <v>3600.5259999999998</v>
      </c>
      <c r="H13" s="4">
        <f t="shared" si="0"/>
        <v>0.91356696224313561</v>
      </c>
      <c r="K13" s="4"/>
      <c r="M13" s="33" t="s">
        <v>594</v>
      </c>
      <c r="N13" s="7" t="s">
        <v>75</v>
      </c>
      <c r="O13" s="4" t="str">
        <f t="shared" ref="O13" si="10">IFERROR((#REF!-#REF!)/#REF!,"-")</f>
        <v>-</v>
      </c>
      <c r="P13" s="4" t="str">
        <f t="shared" ref="P13" si="11">IFERROR((#REF!-#REF!)/#REF!,"-")</f>
        <v>-</v>
      </c>
      <c r="Q13" s="4"/>
      <c r="R13" s="7">
        <v>1208.5581307509215</v>
      </c>
      <c r="S13" s="7">
        <v>3602.0920000000001</v>
      </c>
      <c r="T13" s="4" t="str">
        <f t="shared" si="1"/>
        <v>-</v>
      </c>
    </row>
    <row r="14" spans="1:20" x14ac:dyDescent="0.3">
      <c r="A14" s="33"/>
      <c r="B14" s="7" t="s">
        <v>61</v>
      </c>
      <c r="C14" s="7">
        <v>95.557259588525312</v>
      </c>
      <c r="D14" s="7">
        <v>3603.6089999999999</v>
      </c>
      <c r="E14" s="4">
        <v>0.3902552040483972</v>
      </c>
      <c r="F14" s="7">
        <v>75.236867826458607</v>
      </c>
      <c r="G14" s="7">
        <v>3600.5230000000001</v>
      </c>
      <c r="H14" s="4">
        <f t="shared" si="0"/>
        <v>0.21265147043319788</v>
      </c>
      <c r="K14" s="4"/>
      <c r="M14" s="33"/>
      <c r="N14" s="7" t="s">
        <v>76</v>
      </c>
      <c r="O14" s="4" t="str">
        <f t="shared" ref="O14:O27" si="12">IFERROR((#REF!-#REF!)/#REF!,"-")</f>
        <v>-</v>
      </c>
      <c r="P14" s="4" t="str">
        <f t="shared" ref="P14" si="13">IFERROR((#REF!-#REF!)/#REF!,"-")</f>
        <v>-</v>
      </c>
      <c r="Q14" s="4"/>
      <c r="R14" s="7">
        <v>1186.7271707572488</v>
      </c>
      <c r="S14" s="7">
        <v>3601.462</v>
      </c>
      <c r="T14" s="4" t="str">
        <f t="shared" si="1"/>
        <v>-</v>
      </c>
    </row>
    <row r="15" spans="1:20" x14ac:dyDescent="0.3">
      <c r="A15" s="33"/>
      <c r="B15" s="7" t="s">
        <v>62</v>
      </c>
      <c r="C15" s="7">
        <v>600.59706196367097</v>
      </c>
      <c r="D15" s="7">
        <v>3603.5230000000001</v>
      </c>
      <c r="E15" s="4">
        <v>0.90846865434963198</v>
      </c>
      <c r="F15" s="7">
        <v>78.281067711821493</v>
      </c>
      <c r="G15" s="7">
        <v>3600.2649999999999</v>
      </c>
      <c r="H15" s="4">
        <f t="shared" si="0"/>
        <v>0.8696612543260217</v>
      </c>
      <c r="K15" s="4"/>
      <c r="M15" s="33"/>
      <c r="N15" s="7" t="s">
        <v>77</v>
      </c>
      <c r="O15" s="4" t="str">
        <f t="shared" si="12"/>
        <v>-</v>
      </c>
      <c r="P15" s="4" t="str">
        <f t="shared" ref="P15" si="14">IFERROR((#REF!-#REF!)/#REF!,"-")</f>
        <v>-</v>
      </c>
      <c r="Q15" s="4"/>
      <c r="R15" s="7">
        <v>1031.6821416486048</v>
      </c>
      <c r="S15" s="7">
        <v>3601.6889999999999</v>
      </c>
      <c r="T15" s="4" t="str">
        <f t="shared" si="1"/>
        <v>-</v>
      </c>
    </row>
    <row r="16" spans="1:20" x14ac:dyDescent="0.3">
      <c r="A16" s="33"/>
      <c r="B16" s="7" t="s">
        <v>63</v>
      </c>
      <c r="C16" s="7">
        <v>79.090030546070395</v>
      </c>
      <c r="D16" s="7">
        <v>3603.453</v>
      </c>
      <c r="E16" s="4">
        <v>0.30597889132136707</v>
      </c>
      <c r="F16" s="7">
        <v>79.823886337707364</v>
      </c>
      <c r="G16" s="7">
        <v>3600.5659999999998</v>
      </c>
      <c r="H16" s="4">
        <f t="shared" si="0"/>
        <v>-9.2787395145775588E-3</v>
      </c>
      <c r="K16" s="4"/>
      <c r="M16" s="33"/>
      <c r="N16" s="7" t="s">
        <v>78</v>
      </c>
      <c r="O16" s="4" t="str">
        <f t="shared" si="12"/>
        <v>-</v>
      </c>
      <c r="P16" s="4" t="str">
        <f t="shared" ref="P16" si="15">IFERROR((#REF!-#REF!)/#REF!,"-")</f>
        <v>-</v>
      </c>
      <c r="Q16" s="4"/>
      <c r="R16" s="7">
        <v>1103.9327734666153</v>
      </c>
      <c r="S16" s="7">
        <v>3600.875</v>
      </c>
      <c r="T16" s="4" t="str">
        <f t="shared" si="1"/>
        <v>-</v>
      </c>
    </row>
    <row r="17" spans="1:20" x14ac:dyDescent="0.3">
      <c r="A17" s="33"/>
      <c r="B17" s="7" t="s">
        <v>64</v>
      </c>
      <c r="C17" s="7">
        <v>62.581996299609443</v>
      </c>
      <c r="D17" s="7">
        <v>3602.9180000000001</v>
      </c>
      <c r="E17" s="4">
        <v>1.7105361952065104E-3</v>
      </c>
      <c r="F17" s="7">
        <v>63.492378102066596</v>
      </c>
      <c r="G17" s="7">
        <v>3600.0540000000001</v>
      </c>
      <c r="H17" s="4">
        <f t="shared" si="0"/>
        <v>-1.4547024005094479E-2</v>
      </c>
      <c r="K17" s="4"/>
      <c r="M17" s="33"/>
      <c r="N17" s="7" t="s">
        <v>79</v>
      </c>
      <c r="O17" s="4" t="str">
        <f t="shared" si="12"/>
        <v>-</v>
      </c>
      <c r="P17" s="4" t="str">
        <f t="shared" ref="P17" si="16">IFERROR((#REF!-#REF!)/#REF!,"-")</f>
        <v>-</v>
      </c>
      <c r="Q17" s="4"/>
      <c r="R17" s="7">
        <v>1192.9265569658357</v>
      </c>
      <c r="S17" s="7">
        <v>3602.0509999999999</v>
      </c>
      <c r="T17" s="4" t="str">
        <f t="shared" si="1"/>
        <v>-</v>
      </c>
    </row>
    <row r="18" spans="1:20" x14ac:dyDescent="0.3">
      <c r="A18" s="33" t="s">
        <v>592</v>
      </c>
      <c r="B18" s="7" t="s">
        <v>65</v>
      </c>
      <c r="C18" s="7">
        <v>1779.0503180665351</v>
      </c>
      <c r="D18" s="7">
        <v>3608.6219999999998</v>
      </c>
      <c r="E18" s="4">
        <v>0.99645958548608748</v>
      </c>
      <c r="F18" s="7">
        <v>96.057852332269405</v>
      </c>
      <c r="G18" s="7">
        <v>3600.7579999999998</v>
      </c>
      <c r="H18" s="4">
        <f t="shared" si="0"/>
        <v>0.94600610710288124</v>
      </c>
      <c r="K18" s="4"/>
      <c r="M18" s="33" t="s">
        <v>595</v>
      </c>
      <c r="N18" s="7" t="s">
        <v>80</v>
      </c>
      <c r="O18" s="4" t="str">
        <f t="shared" si="12"/>
        <v>-</v>
      </c>
      <c r="P18" s="4" t="str">
        <f t="shared" ref="P18" si="17">IFERROR((#REF!-#REF!)/#REF!,"-")</f>
        <v>-</v>
      </c>
      <c r="Q18" s="4"/>
      <c r="R18" s="7">
        <v>1811.8662396472282</v>
      </c>
      <c r="S18" s="7">
        <v>3602.6869999999999</v>
      </c>
      <c r="T18" s="4" t="str">
        <f t="shared" si="1"/>
        <v>-</v>
      </c>
    </row>
    <row r="19" spans="1:20" x14ac:dyDescent="0.3">
      <c r="A19" s="33"/>
      <c r="B19" s="7" t="s">
        <v>66</v>
      </c>
      <c r="C19" s="7">
        <v>1485.9867313469467</v>
      </c>
      <c r="D19" s="7">
        <v>3608.384</v>
      </c>
      <c r="E19" s="4">
        <v>0.99564039637029755</v>
      </c>
      <c r="F19" s="7">
        <v>103.75426744136814</v>
      </c>
      <c r="G19" s="7">
        <v>3601.009</v>
      </c>
      <c r="H19" s="4">
        <f t="shared" si="0"/>
        <v>0.93017820061736234</v>
      </c>
      <c r="K19" s="4"/>
      <c r="M19" s="33"/>
      <c r="N19" s="7" t="s">
        <v>81</v>
      </c>
      <c r="O19" s="4" t="str">
        <f t="shared" si="12"/>
        <v>-</v>
      </c>
      <c r="P19" s="4" t="str">
        <f t="shared" ref="P19" si="18">IFERROR((#REF!-#REF!)/#REF!,"-")</f>
        <v>-</v>
      </c>
      <c r="Q19" s="4"/>
      <c r="R19" s="7">
        <v>1699.0113713965643</v>
      </c>
      <c r="S19" s="7">
        <v>3601.9459999999999</v>
      </c>
      <c r="T19" s="4" t="str">
        <f t="shared" si="1"/>
        <v>-</v>
      </c>
    </row>
    <row r="20" spans="1:20" x14ac:dyDescent="0.3">
      <c r="A20" s="33"/>
      <c r="B20" s="7" t="s">
        <v>67</v>
      </c>
      <c r="C20" s="7">
        <v>1361.0478745513392</v>
      </c>
      <c r="D20" s="7">
        <v>3607.9450000000002</v>
      </c>
      <c r="E20" s="4">
        <v>0.99625957088498274</v>
      </c>
      <c r="F20" s="7">
        <v>96.89826578643283</v>
      </c>
      <c r="G20" s="7">
        <v>3600.3589999999999</v>
      </c>
      <c r="H20" s="4">
        <f t="shared" si="0"/>
        <v>0.92880612974883436</v>
      </c>
      <c r="K20" s="4"/>
      <c r="M20" s="33"/>
      <c r="N20" s="7" t="s">
        <v>82</v>
      </c>
      <c r="O20" s="4" t="str">
        <f t="shared" si="12"/>
        <v>-</v>
      </c>
      <c r="P20" s="4" t="str">
        <f t="shared" ref="P20" si="19">IFERROR((#REF!-#REF!)/#REF!,"-")</f>
        <v>-</v>
      </c>
      <c r="Q20" s="4"/>
      <c r="R20" s="7">
        <v>1697.601469307665</v>
      </c>
      <c r="S20" s="7">
        <v>3602.098</v>
      </c>
      <c r="T20" s="4" t="str">
        <f t="shared" si="1"/>
        <v>-</v>
      </c>
    </row>
    <row r="21" spans="1:20" x14ac:dyDescent="0.3">
      <c r="A21" s="33"/>
      <c r="B21" s="7" t="s">
        <v>68</v>
      </c>
      <c r="C21" s="7">
        <v>1390.0675692228908</v>
      </c>
      <c r="D21" s="7">
        <v>3608.1179999999999</v>
      </c>
      <c r="E21" s="4">
        <v>0.99647376277875233</v>
      </c>
      <c r="F21" s="7">
        <v>99.010361511311643</v>
      </c>
      <c r="G21" s="7">
        <v>3600.2260000000001</v>
      </c>
      <c r="H21" s="4">
        <f t="shared" si="0"/>
        <v>0.92877298650549567</v>
      </c>
      <c r="K21" s="4"/>
      <c r="M21" s="33"/>
      <c r="N21" s="7" t="s">
        <v>83</v>
      </c>
      <c r="O21" s="4" t="str">
        <f t="shared" si="12"/>
        <v>-</v>
      </c>
      <c r="P21" s="4" t="str">
        <f t="shared" ref="P21" si="20">IFERROR((#REF!-#REF!)/#REF!,"-")</f>
        <v>-</v>
      </c>
      <c r="Q21" s="4"/>
      <c r="R21" s="7">
        <v>1617.1771751392848</v>
      </c>
      <c r="S21" s="7">
        <v>3602.1840000000002</v>
      </c>
      <c r="T21" s="4" t="str">
        <f t="shared" si="1"/>
        <v>-</v>
      </c>
    </row>
    <row r="22" spans="1:20" x14ac:dyDescent="0.3">
      <c r="A22" s="33"/>
      <c r="B22" s="7" t="s">
        <v>69</v>
      </c>
      <c r="C22" s="7">
        <v>1279.3915889633035</v>
      </c>
      <c r="D22" s="7">
        <v>3609.25</v>
      </c>
      <c r="E22" s="4">
        <v>0.99585741574248532</v>
      </c>
      <c r="F22" s="7">
        <v>107.9504301020327</v>
      </c>
      <c r="G22" s="7">
        <v>3600.366</v>
      </c>
      <c r="H22" s="4">
        <f t="shared" si="0"/>
        <v>0.91562362060742841</v>
      </c>
      <c r="K22" s="4"/>
      <c r="M22" s="33"/>
      <c r="N22" s="7" t="s">
        <v>84</v>
      </c>
      <c r="O22" s="4" t="str">
        <f t="shared" si="12"/>
        <v>-</v>
      </c>
      <c r="P22" s="4" t="str">
        <f t="shared" ref="P22" si="21">IFERROR((#REF!-#REF!)/#REF!,"-")</f>
        <v>-</v>
      </c>
      <c r="Q22" s="4"/>
      <c r="R22" s="7">
        <v>1837.4136781124437</v>
      </c>
      <c r="S22" s="7">
        <v>3602.0349999999999</v>
      </c>
      <c r="T22" s="4" t="str">
        <f t="shared" si="1"/>
        <v>-</v>
      </c>
    </row>
    <row r="23" spans="1:20" x14ac:dyDescent="0.3">
      <c r="A23" s="33" t="s">
        <v>596</v>
      </c>
      <c r="B23" s="7" t="s">
        <v>70</v>
      </c>
      <c r="C23" s="7">
        <v>1557.924887939429</v>
      </c>
      <c r="D23" s="7">
        <v>3617.569</v>
      </c>
      <c r="E23" s="4">
        <v>0.99597098123196848</v>
      </c>
      <c r="F23" s="7">
        <v>112.44468498811091</v>
      </c>
      <c r="G23" s="7">
        <v>3600.922</v>
      </c>
      <c r="H23" s="4">
        <f t="shared" si="0"/>
        <v>0.92782406529442207</v>
      </c>
      <c r="K23" s="4"/>
      <c r="M23" s="33" t="s">
        <v>597</v>
      </c>
      <c r="N23" s="7" t="s">
        <v>85</v>
      </c>
      <c r="O23" s="4" t="str">
        <f t="shared" si="12"/>
        <v>-</v>
      </c>
      <c r="P23" s="4" t="str">
        <f t="shared" ref="P23" si="22">IFERROR((#REF!-#REF!)/#REF!,"-")</f>
        <v>-</v>
      </c>
      <c r="Q23" s="4"/>
      <c r="R23" s="7">
        <v>2530.4166491521605</v>
      </c>
      <c r="S23" s="7">
        <v>3601.7660000000001</v>
      </c>
      <c r="T23" s="4" t="str">
        <f t="shared" si="1"/>
        <v>-</v>
      </c>
    </row>
    <row r="24" spans="1:20" x14ac:dyDescent="0.3">
      <c r="A24" s="33"/>
      <c r="B24" s="7" t="s">
        <v>71</v>
      </c>
      <c r="C24" s="7">
        <v>2042.2429125479177</v>
      </c>
      <c r="D24" s="7">
        <v>3617.3939999999998</v>
      </c>
      <c r="E24" s="4">
        <v>0.9957398768016934</v>
      </c>
      <c r="F24" s="7">
        <v>136.135364351471</v>
      </c>
      <c r="G24" s="7">
        <v>3600.1</v>
      </c>
      <c r="H24" s="4">
        <f t="shared" si="0"/>
        <v>0.93334026842985707</v>
      </c>
      <c r="K24" s="4"/>
      <c r="M24" s="33"/>
      <c r="N24" s="7" t="s">
        <v>86</v>
      </c>
      <c r="O24" s="4" t="str">
        <f t="shared" si="12"/>
        <v>-</v>
      </c>
      <c r="P24" s="4" t="str">
        <f t="shared" ref="P24" si="23">IFERROR((#REF!-#REF!)/#REF!,"-")</f>
        <v>-</v>
      </c>
      <c r="Q24" s="4"/>
      <c r="R24" s="7">
        <v>2444.015455984334</v>
      </c>
      <c r="S24" s="7">
        <v>3602.328</v>
      </c>
      <c r="T24" s="4" t="str">
        <f t="shared" si="1"/>
        <v>-</v>
      </c>
    </row>
    <row r="25" spans="1:20" x14ac:dyDescent="0.3">
      <c r="A25" s="33"/>
      <c r="B25" s="7" t="s">
        <v>72</v>
      </c>
      <c r="C25" s="7">
        <v>2014.4736320687407</v>
      </c>
      <c r="D25" s="7">
        <v>3615.9169999999999</v>
      </c>
      <c r="E25" s="4">
        <v>0.99614347215230492</v>
      </c>
      <c r="F25" s="7">
        <v>112.49228066462901</v>
      </c>
      <c r="G25" s="7">
        <v>3600.2069999999999</v>
      </c>
      <c r="H25" s="4">
        <f t="shared" si="0"/>
        <v>0.94415797810711155</v>
      </c>
      <c r="K25" s="4"/>
      <c r="M25" s="33"/>
      <c r="N25" s="7" t="s">
        <v>87</v>
      </c>
      <c r="O25" s="4" t="str">
        <f t="shared" si="12"/>
        <v>-</v>
      </c>
      <c r="P25" s="4" t="str">
        <f t="shared" ref="P25" si="24">IFERROR((#REF!-#REF!)/#REF!,"-")</f>
        <v>-</v>
      </c>
      <c r="Q25" s="4"/>
      <c r="R25" s="7">
        <v>2322.5820588080342</v>
      </c>
      <c r="S25" s="7">
        <v>3669.4569999999999</v>
      </c>
      <c r="T25" s="4" t="str">
        <f t="shared" si="1"/>
        <v>-</v>
      </c>
    </row>
    <row r="26" spans="1:20" x14ac:dyDescent="0.3">
      <c r="A26" s="33"/>
      <c r="B26" s="7" t="s">
        <v>73</v>
      </c>
      <c r="C26" s="7">
        <v>1918.4566434140004</v>
      </c>
      <c r="D26" s="7">
        <v>3617.0039999999999</v>
      </c>
      <c r="E26" s="4">
        <v>0.99596924402628317</v>
      </c>
      <c r="F26" s="7">
        <v>128.2387680792381</v>
      </c>
      <c r="G26" s="7">
        <v>3600.8919999999998</v>
      </c>
      <c r="H26" s="4">
        <f t="shared" si="0"/>
        <v>0.9331552430337805</v>
      </c>
      <c r="K26" s="4"/>
      <c r="M26" s="33"/>
      <c r="N26" s="7" t="s">
        <v>88</v>
      </c>
      <c r="O26" s="4" t="str">
        <f t="shared" si="12"/>
        <v>-</v>
      </c>
      <c r="P26" s="4" t="str">
        <f t="shared" ref="P26" si="25">IFERROR((#REF!-#REF!)/#REF!,"-")</f>
        <v>-</v>
      </c>
      <c r="Q26" s="4"/>
      <c r="R26" s="7">
        <v>2497.0165783656589</v>
      </c>
      <c r="S26" s="7">
        <v>3602.1419999999998</v>
      </c>
      <c r="T26" s="4" t="str">
        <f t="shared" si="1"/>
        <v>-</v>
      </c>
    </row>
    <row r="27" spans="1:20" x14ac:dyDescent="0.3">
      <c r="A27" s="33"/>
      <c r="B27" s="7" t="s">
        <v>74</v>
      </c>
      <c r="C27" s="7">
        <v>2296.9963547158604</v>
      </c>
      <c r="D27" s="7">
        <v>3617.3049999999998</v>
      </c>
      <c r="E27" s="4">
        <v>0.99593425979891625</v>
      </c>
      <c r="F27" s="7">
        <v>164.89065281409654</v>
      </c>
      <c r="G27" s="7">
        <v>3600.3919999999998</v>
      </c>
      <c r="H27" s="4">
        <f t="shared" si="0"/>
        <v>0.9282146650012888</v>
      </c>
      <c r="K27" s="4"/>
      <c r="M27" s="33"/>
      <c r="N27" s="7" t="s">
        <v>89</v>
      </c>
      <c r="O27" s="4" t="str">
        <f t="shared" si="12"/>
        <v>-</v>
      </c>
      <c r="P27" s="4" t="str">
        <f t="shared" ref="P27" si="26">IFERROR((#REF!-#REF!)/#REF!,"-")</f>
        <v>-</v>
      </c>
      <c r="Q27" s="4"/>
      <c r="R27" s="7">
        <v>2337.4109040825592</v>
      </c>
      <c r="S27" s="7">
        <v>3602.127</v>
      </c>
      <c r="T27" s="4" t="str">
        <f t="shared" si="1"/>
        <v>-</v>
      </c>
    </row>
    <row r="31" spans="1:20" x14ac:dyDescent="0.3">
      <c r="A31" s="33" t="s">
        <v>807</v>
      </c>
      <c r="B31" s="33"/>
      <c r="C31" s="33" t="s">
        <v>589</v>
      </c>
      <c r="D31" s="33"/>
      <c r="E31" s="33" t="s">
        <v>40</v>
      </c>
      <c r="F31" s="33"/>
      <c r="M31" s="33" t="s">
        <v>808</v>
      </c>
      <c r="N31" s="33"/>
      <c r="O31" s="33" t="s">
        <v>589</v>
      </c>
      <c r="P31" s="33"/>
      <c r="Q31" s="33" t="s">
        <v>40</v>
      </c>
      <c r="R31" s="33"/>
    </row>
    <row r="32" spans="1:20" x14ac:dyDescent="0.3">
      <c r="A32" s="11" t="s">
        <v>38</v>
      </c>
      <c r="B32" s="11" t="s">
        <v>37</v>
      </c>
      <c r="C32" s="11" t="s">
        <v>7</v>
      </c>
      <c r="D32" s="11" t="s">
        <v>11</v>
      </c>
      <c r="E32" s="11" t="s">
        <v>7</v>
      </c>
      <c r="F32" s="11" t="s">
        <v>11</v>
      </c>
      <c r="G32" s="11" t="s">
        <v>591</v>
      </c>
      <c r="M32" s="11" t="s">
        <v>38</v>
      </c>
      <c r="N32" s="11" t="s">
        <v>37</v>
      </c>
      <c r="O32" s="11" t="s">
        <v>7</v>
      </c>
      <c r="P32" s="11" t="s">
        <v>11</v>
      </c>
      <c r="Q32" s="11" t="s">
        <v>7</v>
      </c>
      <c r="R32" s="11" t="s">
        <v>11</v>
      </c>
      <c r="S32" s="11" t="s">
        <v>591</v>
      </c>
    </row>
    <row r="33" spans="1:19" x14ac:dyDescent="0.3">
      <c r="A33" s="33" t="s">
        <v>598</v>
      </c>
      <c r="B33" s="11" t="s">
        <v>50</v>
      </c>
      <c r="C33" s="11">
        <v>19.113158371209611</v>
      </c>
      <c r="D33" s="11">
        <v>3600.0839999999998</v>
      </c>
      <c r="E33" s="11">
        <v>19.120358371209612</v>
      </c>
      <c r="F33" s="11">
        <v>784.38</v>
      </c>
      <c r="G33" s="4">
        <f>(C33-E33)/C33</f>
        <v>-3.7670383199704102E-4</v>
      </c>
      <c r="M33" s="33" t="s">
        <v>599</v>
      </c>
      <c r="N33" s="11" t="s">
        <v>55</v>
      </c>
      <c r="O33" s="11">
        <v>319.53606947777735</v>
      </c>
      <c r="P33" s="11">
        <v>3600.692</v>
      </c>
      <c r="Q33" s="11">
        <v>225.10988662137976</v>
      </c>
      <c r="R33" s="11">
        <v>3602.3449999999998</v>
      </c>
      <c r="S33" s="4">
        <f t="shared" ref="S33:S57" si="27">(O33-Q33)/O33</f>
        <v>0.29551024712396234</v>
      </c>
    </row>
    <row r="34" spans="1:19" x14ac:dyDescent="0.3">
      <c r="A34" s="33"/>
      <c r="B34" s="11" t="s">
        <v>51</v>
      </c>
      <c r="C34" s="11">
        <v>22.152430125032968</v>
      </c>
      <c r="D34" s="11">
        <v>3600.0920000000001</v>
      </c>
      <c r="E34" s="11">
        <v>22.152430125032968</v>
      </c>
      <c r="F34" s="11">
        <v>1784.1759999999999</v>
      </c>
      <c r="G34" s="4">
        <f t="shared" ref="G34:G57" si="28">(C34-E34)/C34</f>
        <v>0</v>
      </c>
      <c r="M34" s="33"/>
      <c r="N34" s="11" t="s">
        <v>56</v>
      </c>
      <c r="O34" s="11">
        <v>331.50048436174211</v>
      </c>
      <c r="P34" s="11">
        <v>3600.6880000000001</v>
      </c>
      <c r="Q34" s="11">
        <v>238.98936419206723</v>
      </c>
      <c r="R34" s="11">
        <v>3601.4760000000001</v>
      </c>
      <c r="S34" s="4">
        <f t="shared" si="27"/>
        <v>0.27906782805398345</v>
      </c>
    </row>
    <row r="35" spans="1:19" x14ac:dyDescent="0.3">
      <c r="A35" s="33"/>
      <c r="B35" s="11" t="s">
        <v>52</v>
      </c>
      <c r="C35" s="11">
        <v>2.3320333963418576</v>
      </c>
      <c r="D35" s="11">
        <v>3600.0909999999999</v>
      </c>
      <c r="E35" s="11">
        <v>2.3320333963418576</v>
      </c>
      <c r="F35" s="11">
        <v>135.89400000000001</v>
      </c>
      <c r="G35" s="4">
        <f t="shared" si="28"/>
        <v>0</v>
      </c>
      <c r="M35" s="33"/>
      <c r="N35" s="11" t="s">
        <v>57</v>
      </c>
      <c r="O35" s="11">
        <v>162.12217431841853</v>
      </c>
      <c r="P35" s="11">
        <v>3600.931</v>
      </c>
      <c r="Q35" s="11">
        <v>123.24506749593867</v>
      </c>
      <c r="R35" s="11">
        <v>3600.4070000000002</v>
      </c>
      <c r="S35" s="4">
        <f t="shared" si="27"/>
        <v>0.23980129174755999</v>
      </c>
    </row>
    <row r="36" spans="1:19" x14ac:dyDescent="0.3">
      <c r="A36" s="33"/>
      <c r="B36" s="11" t="s">
        <v>53</v>
      </c>
      <c r="C36" s="11">
        <v>3.9682502908400066</v>
      </c>
      <c r="D36" s="11">
        <v>3600.1</v>
      </c>
      <c r="E36" s="11">
        <v>3.9682502908400066</v>
      </c>
      <c r="F36" s="11">
        <v>750.221</v>
      </c>
      <c r="G36" s="4">
        <f t="shared" si="28"/>
        <v>0</v>
      </c>
      <c r="M36" s="33"/>
      <c r="N36" s="11" t="s">
        <v>58</v>
      </c>
      <c r="O36" s="11">
        <v>143.49692738316031</v>
      </c>
      <c r="P36" s="11">
        <v>3600.7139999999999</v>
      </c>
      <c r="Q36" s="11">
        <v>127.98914761587699</v>
      </c>
      <c r="R36" s="11">
        <v>3600.2559999999999</v>
      </c>
      <c r="S36" s="4">
        <f t="shared" si="27"/>
        <v>0.10807046568931063</v>
      </c>
    </row>
    <row r="37" spans="1:19" x14ac:dyDescent="0.3">
      <c r="A37" s="33"/>
      <c r="B37" s="11" t="s">
        <v>54</v>
      </c>
      <c r="C37" s="11">
        <v>3.7929994136695404</v>
      </c>
      <c r="D37" s="11">
        <v>3600.0169999999998</v>
      </c>
      <c r="E37" s="11">
        <v>3.7953994136695393</v>
      </c>
      <c r="F37" s="11">
        <v>708.14300000000003</v>
      </c>
      <c r="G37" s="4">
        <f t="shared" si="28"/>
        <v>-6.3274462720703812E-4</v>
      </c>
      <c r="M37" s="33"/>
      <c r="N37" s="11" t="s">
        <v>59</v>
      </c>
      <c r="O37" s="11">
        <v>301.28076674069325</v>
      </c>
      <c r="P37" s="11">
        <v>3600.73</v>
      </c>
      <c r="Q37" s="11">
        <v>216.13564150369564</v>
      </c>
      <c r="R37" s="11">
        <v>3600.8249999999998</v>
      </c>
      <c r="S37" s="4">
        <f t="shared" si="27"/>
        <v>0.28261055678433145</v>
      </c>
    </row>
    <row r="38" spans="1:19" x14ac:dyDescent="0.3">
      <c r="A38" s="33" t="s">
        <v>599</v>
      </c>
      <c r="B38" s="11" t="s">
        <v>55</v>
      </c>
      <c r="C38" s="11">
        <v>39.761758749796655</v>
      </c>
      <c r="D38" s="11">
        <v>3600.1260000000002</v>
      </c>
      <c r="E38" s="11">
        <v>40.118458749796645</v>
      </c>
      <c r="F38" s="11">
        <v>3600.4140000000002</v>
      </c>
      <c r="G38" s="4">
        <f t="shared" si="28"/>
        <v>-8.9709311462942663E-3</v>
      </c>
      <c r="M38" s="33" t="s">
        <v>592</v>
      </c>
      <c r="N38" s="11" t="s">
        <v>65</v>
      </c>
      <c r="O38" s="11">
        <v>669.02320263829938</v>
      </c>
      <c r="P38" s="11">
        <v>3603.4569999999999</v>
      </c>
      <c r="Q38" s="11">
        <v>525.2524278292135</v>
      </c>
      <c r="R38" s="11">
        <v>3600.2510000000002</v>
      </c>
      <c r="S38" s="4">
        <f t="shared" si="27"/>
        <v>0.21489654505572373</v>
      </c>
    </row>
    <row r="39" spans="1:19" x14ac:dyDescent="0.3">
      <c r="A39" s="33"/>
      <c r="B39" s="11" t="s">
        <v>56</v>
      </c>
      <c r="C39" s="11">
        <v>41.555424227173049</v>
      </c>
      <c r="D39" s="11">
        <v>3600.096</v>
      </c>
      <c r="E39" s="11">
        <v>41.898026514197895</v>
      </c>
      <c r="F39" s="11">
        <v>3600.0569999999998</v>
      </c>
      <c r="G39" s="4">
        <f t="shared" si="28"/>
        <v>-8.2444661171529737E-3</v>
      </c>
      <c r="M39" s="33"/>
      <c r="N39" s="11" t="s">
        <v>66</v>
      </c>
      <c r="O39" s="11">
        <v>875.64707763803267</v>
      </c>
      <c r="P39" s="11">
        <v>3603.3449999999998</v>
      </c>
      <c r="Q39" s="11">
        <v>630.57472931700363</v>
      </c>
      <c r="R39" s="11">
        <v>3600.527</v>
      </c>
      <c r="S39" s="4">
        <f t="shared" si="27"/>
        <v>0.2798757108652567</v>
      </c>
    </row>
    <row r="40" spans="1:19" x14ac:dyDescent="0.3">
      <c r="A40" s="33"/>
      <c r="B40" s="11" t="s">
        <v>57</v>
      </c>
      <c r="C40" s="11">
        <v>19.740402093227388</v>
      </c>
      <c r="D40" s="11">
        <v>3600.0990000000002</v>
      </c>
      <c r="E40" s="11">
        <v>19.868326224054695</v>
      </c>
      <c r="F40" s="11">
        <v>3600.5169999999998</v>
      </c>
      <c r="G40" s="4">
        <f t="shared" si="28"/>
        <v>-6.4803204222063527E-3</v>
      </c>
      <c r="M40" s="33"/>
      <c r="N40" s="11" t="s">
        <v>67</v>
      </c>
      <c r="O40" s="11">
        <v>615.18325638420697</v>
      </c>
      <c r="P40" s="11">
        <v>3604.0259999999998</v>
      </c>
      <c r="Q40" s="11">
        <v>469.27501128934068</v>
      </c>
      <c r="R40" s="11">
        <v>3601.2370000000001</v>
      </c>
      <c r="S40" s="4">
        <f t="shared" si="27"/>
        <v>0.23717850507254484</v>
      </c>
    </row>
    <row r="41" spans="1:19" x14ac:dyDescent="0.3">
      <c r="A41" s="33"/>
      <c r="B41" s="11" t="s">
        <v>58</v>
      </c>
      <c r="C41" s="11">
        <v>22.758820843048206</v>
      </c>
      <c r="D41" s="11">
        <v>3600.0859999999998</v>
      </c>
      <c r="E41" s="11">
        <v>23.117820147610626</v>
      </c>
      <c r="F41" s="11">
        <v>3600.1170000000002</v>
      </c>
      <c r="G41" s="4">
        <f t="shared" si="28"/>
        <v>-1.5774073140176707E-2</v>
      </c>
      <c r="M41" s="33"/>
      <c r="N41" s="11" t="s">
        <v>68</v>
      </c>
      <c r="O41" s="11">
        <v>872.76363796921987</v>
      </c>
      <c r="P41" s="11">
        <v>3603.6559999999999</v>
      </c>
      <c r="Q41" s="11">
        <v>677.61251058916673</v>
      </c>
      <c r="R41" s="11">
        <v>3600.9369999999999</v>
      </c>
      <c r="S41" s="4">
        <f t="shared" si="27"/>
        <v>0.22360134965537556</v>
      </c>
    </row>
    <row r="42" spans="1:19" x14ac:dyDescent="0.3">
      <c r="A42" s="33"/>
      <c r="B42" s="11" t="s">
        <v>59</v>
      </c>
      <c r="C42" s="11">
        <v>34.061136441961978</v>
      </c>
      <c r="D42" s="11">
        <v>3600.1219999999998</v>
      </c>
      <c r="E42" s="11">
        <v>34.23259926627064</v>
      </c>
      <c r="F42" s="11">
        <v>3600.277</v>
      </c>
      <c r="G42" s="4">
        <f t="shared" si="28"/>
        <v>-5.0339725041418986E-3</v>
      </c>
      <c r="M42" s="33"/>
      <c r="N42" s="11" t="s">
        <v>69</v>
      </c>
      <c r="O42" s="11">
        <v>673.31434578204039</v>
      </c>
      <c r="P42" s="11">
        <v>3603.4789999999998</v>
      </c>
      <c r="Q42" s="11">
        <v>533.85078008975802</v>
      </c>
      <c r="R42" s="11">
        <v>3606.3710000000001</v>
      </c>
      <c r="S42" s="4">
        <f t="shared" si="27"/>
        <v>0.20712994839029961</v>
      </c>
    </row>
    <row r="43" spans="1:19" x14ac:dyDescent="0.3">
      <c r="A43" s="33" t="s">
        <v>593</v>
      </c>
      <c r="B43" s="11" t="s">
        <v>60</v>
      </c>
      <c r="C43" s="11">
        <v>119.85564640508085</v>
      </c>
      <c r="D43" s="11">
        <v>3602.9740000000002</v>
      </c>
      <c r="E43" s="11">
        <v>87.71120226777964</v>
      </c>
      <c r="F43" s="11">
        <v>3600.5259999999998</v>
      </c>
      <c r="G43" s="4">
        <f t="shared" si="28"/>
        <v>0.26819298966242577</v>
      </c>
      <c r="M43" s="33" t="s">
        <v>594</v>
      </c>
      <c r="N43" s="11" t="s">
        <v>75</v>
      </c>
      <c r="O43" s="11">
        <v>1208.5581307509215</v>
      </c>
      <c r="P43" s="11">
        <v>3600.922</v>
      </c>
      <c r="Q43" s="11">
        <v>1208.5581307509215</v>
      </c>
      <c r="R43" s="11">
        <v>3602.0920000000001</v>
      </c>
      <c r="S43" s="4">
        <f t="shared" si="27"/>
        <v>0</v>
      </c>
    </row>
    <row r="44" spans="1:19" x14ac:dyDescent="0.3">
      <c r="A44" s="33"/>
      <c r="B44" s="11" t="s">
        <v>61</v>
      </c>
      <c r="C44" s="11">
        <v>79.130001975071039</v>
      </c>
      <c r="D44" s="11">
        <v>3600.2</v>
      </c>
      <c r="E44" s="11">
        <v>75.236867826458607</v>
      </c>
      <c r="F44" s="11">
        <v>3600.5230000000001</v>
      </c>
      <c r="G44" s="4">
        <f t="shared" si="28"/>
        <v>4.9199217129287043E-2</v>
      </c>
      <c r="M44" s="33"/>
      <c r="N44" s="11" t="s">
        <v>76</v>
      </c>
      <c r="O44" s="11">
        <v>1375.2095669217042</v>
      </c>
      <c r="P44" s="11">
        <v>3609.5590000000002</v>
      </c>
      <c r="Q44" s="11">
        <v>1186.7271707572488</v>
      </c>
      <c r="R44" s="11">
        <v>3601.462</v>
      </c>
      <c r="S44" s="4">
        <f t="shared" si="27"/>
        <v>0.13705721709481564</v>
      </c>
    </row>
    <row r="45" spans="1:19" x14ac:dyDescent="0.3">
      <c r="A45" s="33"/>
      <c r="B45" s="11" t="s">
        <v>62</v>
      </c>
      <c r="C45" s="11">
        <v>114.59645245371252</v>
      </c>
      <c r="D45" s="11">
        <v>3603.4870000000001</v>
      </c>
      <c r="E45" s="11">
        <v>78.281067711821493</v>
      </c>
      <c r="F45" s="11">
        <v>3600.2649999999999</v>
      </c>
      <c r="G45" s="4">
        <f t="shared" si="28"/>
        <v>0.31689798387571755</v>
      </c>
      <c r="M45" s="33"/>
      <c r="N45" s="11" t="s">
        <v>77</v>
      </c>
      <c r="O45" s="11">
        <v>1203.5269269478968</v>
      </c>
      <c r="P45" s="11">
        <v>3609.7049999999999</v>
      </c>
      <c r="Q45" s="11">
        <v>1031.6821416486048</v>
      </c>
      <c r="R45" s="11">
        <v>3601.6889999999999</v>
      </c>
      <c r="S45" s="4">
        <f t="shared" si="27"/>
        <v>0.14278432949986794</v>
      </c>
    </row>
    <row r="46" spans="1:19" x14ac:dyDescent="0.3">
      <c r="A46" s="33"/>
      <c r="B46" s="11" t="s">
        <v>63</v>
      </c>
      <c r="C46" s="11">
        <v>110.35665208980406</v>
      </c>
      <c r="D46" s="11">
        <v>3600.2860000000001</v>
      </c>
      <c r="E46" s="11">
        <v>79.823886337707364</v>
      </c>
      <c r="F46" s="11">
        <v>3600.5659999999998</v>
      </c>
      <c r="G46" s="4">
        <f t="shared" si="28"/>
        <v>0.2766735414123499</v>
      </c>
      <c r="M46" s="33"/>
      <c r="N46" s="11" t="s">
        <v>78</v>
      </c>
      <c r="O46" s="11">
        <v>1255.0435796468382</v>
      </c>
      <c r="P46" s="11">
        <v>3610.0309999999999</v>
      </c>
      <c r="Q46" s="11">
        <v>1103.9327734666153</v>
      </c>
      <c r="R46" s="11">
        <v>3600.875</v>
      </c>
      <c r="S46" s="4">
        <f t="shared" si="27"/>
        <v>0.12040283591008415</v>
      </c>
    </row>
    <row r="47" spans="1:19" x14ac:dyDescent="0.3">
      <c r="A47" s="33"/>
      <c r="B47" s="11" t="s">
        <v>64</v>
      </c>
      <c r="C47" s="11">
        <v>67.93833028370095</v>
      </c>
      <c r="D47" s="11">
        <v>3600.2489999999998</v>
      </c>
      <c r="E47" s="11">
        <v>63.492378102066596</v>
      </c>
      <c r="F47" s="11">
        <v>3600.0540000000001</v>
      </c>
      <c r="G47" s="4">
        <f t="shared" si="28"/>
        <v>6.5440998668478911E-2</v>
      </c>
      <c r="M47" s="33"/>
      <c r="N47" s="11" t="s">
        <v>79</v>
      </c>
      <c r="O47" s="11">
        <v>1298.8821658264528</v>
      </c>
      <c r="P47" s="11">
        <v>3609.8249999999998</v>
      </c>
      <c r="Q47" s="11">
        <v>1192.9265569658357</v>
      </c>
      <c r="R47" s="11">
        <v>3602.0509999999999</v>
      </c>
      <c r="S47" s="4">
        <f t="shared" si="27"/>
        <v>8.1574458136623687E-2</v>
      </c>
    </row>
    <row r="48" spans="1:19" x14ac:dyDescent="0.3">
      <c r="A48" s="33" t="s">
        <v>592</v>
      </c>
      <c r="B48" s="11" t="s">
        <v>65</v>
      </c>
      <c r="C48" s="11">
        <v>139.8957524937764</v>
      </c>
      <c r="D48" s="11">
        <v>3600.43</v>
      </c>
      <c r="E48" s="11">
        <v>96.057852332269405</v>
      </c>
      <c r="F48" s="11">
        <v>3600.7579999999998</v>
      </c>
      <c r="G48" s="4">
        <f t="shared" si="28"/>
        <v>0.31336119489015385</v>
      </c>
      <c r="M48" s="33" t="s">
        <v>595</v>
      </c>
      <c r="N48" s="11" t="s">
        <v>80</v>
      </c>
      <c r="O48" s="11">
        <v>1877.1186387918679</v>
      </c>
      <c r="P48" s="11">
        <v>3624.6260000000002</v>
      </c>
      <c r="Q48" s="11">
        <v>1811.8662396472282</v>
      </c>
      <c r="R48" s="11">
        <v>3602.6869999999999</v>
      </c>
      <c r="S48" s="4">
        <f t="shared" si="27"/>
        <v>3.4762000544961147E-2</v>
      </c>
    </row>
    <row r="49" spans="1:19" x14ac:dyDescent="0.3">
      <c r="A49" s="33"/>
      <c r="B49" s="11" t="s">
        <v>66</v>
      </c>
      <c r="C49" s="11">
        <v>130.67448008437844</v>
      </c>
      <c r="D49" s="11">
        <v>3600.4749999999999</v>
      </c>
      <c r="E49" s="11">
        <v>103.75426744136814</v>
      </c>
      <c r="F49" s="11">
        <v>3601.009</v>
      </c>
      <c r="G49" s="4">
        <f t="shared" si="28"/>
        <v>0.20600971685999839</v>
      </c>
      <c r="M49" s="33"/>
      <c r="N49" s="11" t="s">
        <v>81</v>
      </c>
      <c r="O49" s="11">
        <v>1767.6053310804286</v>
      </c>
      <c r="P49" s="11">
        <v>3623.616</v>
      </c>
      <c r="Q49" s="11">
        <v>1699.0113713965643</v>
      </c>
      <c r="R49" s="11">
        <v>3601.9459999999999</v>
      </c>
      <c r="S49" s="4">
        <f t="shared" si="27"/>
        <v>3.8806151168336356E-2</v>
      </c>
    </row>
    <row r="50" spans="1:19" x14ac:dyDescent="0.3">
      <c r="A50" s="33"/>
      <c r="B50" s="11" t="s">
        <v>67</v>
      </c>
      <c r="C50" s="11">
        <v>139.7686740833378</v>
      </c>
      <c r="D50" s="11">
        <v>3600.4780000000001</v>
      </c>
      <c r="E50" s="11">
        <v>96.89826578643283</v>
      </c>
      <c r="F50" s="11">
        <v>3600.3589999999999</v>
      </c>
      <c r="G50" s="4">
        <f t="shared" si="28"/>
        <v>0.30672401078472894</v>
      </c>
      <c r="M50" s="33"/>
      <c r="N50" s="11" t="s">
        <v>82</v>
      </c>
      <c r="O50" s="11">
        <v>1769.4187633508227</v>
      </c>
      <c r="P50" s="11">
        <v>3625.962</v>
      </c>
      <c r="Q50" s="11">
        <v>1697.601469307665</v>
      </c>
      <c r="R50" s="11">
        <v>3602.098</v>
      </c>
      <c r="S50" s="4">
        <f t="shared" si="27"/>
        <v>4.0588070800805974E-2</v>
      </c>
    </row>
    <row r="51" spans="1:19" x14ac:dyDescent="0.3">
      <c r="A51" s="33"/>
      <c r="B51" s="11" t="s">
        <v>68</v>
      </c>
      <c r="C51" s="11">
        <v>153.50249196774706</v>
      </c>
      <c r="D51" s="11">
        <v>3600.4569999999999</v>
      </c>
      <c r="E51" s="11">
        <v>99.010361511311643</v>
      </c>
      <c r="F51" s="11">
        <v>3600.2260000000001</v>
      </c>
      <c r="G51" s="4">
        <f t="shared" si="28"/>
        <v>0.35499182949997288</v>
      </c>
      <c r="M51" s="33"/>
      <c r="N51" s="11" t="s">
        <v>83</v>
      </c>
      <c r="O51" s="11">
        <v>1810.7983751956524</v>
      </c>
      <c r="P51" s="11">
        <v>3624.962</v>
      </c>
      <c r="Q51" s="11">
        <v>1617.1771751392848</v>
      </c>
      <c r="R51" s="11">
        <v>3602.1840000000002</v>
      </c>
      <c r="S51" s="4">
        <f t="shared" si="27"/>
        <v>0.10692587463551664</v>
      </c>
    </row>
    <row r="52" spans="1:19" x14ac:dyDescent="0.3">
      <c r="A52" s="33"/>
      <c r="B52" s="11" t="s">
        <v>69</v>
      </c>
      <c r="C52" s="11">
        <v>150.38724903240183</v>
      </c>
      <c r="D52" s="11">
        <v>3600.4430000000002</v>
      </c>
      <c r="E52" s="11">
        <v>107.9504301020327</v>
      </c>
      <c r="F52" s="11">
        <v>3600.366</v>
      </c>
      <c r="G52" s="4">
        <f t="shared" si="28"/>
        <v>0.28218362396685548</v>
      </c>
      <c r="M52" s="33"/>
      <c r="N52" s="11" t="s">
        <v>84</v>
      </c>
      <c r="O52" s="11">
        <v>1916.5490088828678</v>
      </c>
      <c r="P52" s="11">
        <v>3624.8969999999999</v>
      </c>
      <c r="Q52" s="11">
        <v>1837.4136781124437</v>
      </c>
      <c r="R52" s="11">
        <v>3602.0349999999999</v>
      </c>
      <c r="S52" s="4">
        <f t="shared" si="27"/>
        <v>4.1290533351167023E-2</v>
      </c>
    </row>
    <row r="53" spans="1:19" x14ac:dyDescent="0.3">
      <c r="A53" s="33" t="s">
        <v>596</v>
      </c>
      <c r="B53" s="11" t="s">
        <v>70</v>
      </c>
      <c r="C53" s="11">
        <v>161.43302259709776</v>
      </c>
      <c r="D53" s="11">
        <v>3600.7280000000001</v>
      </c>
      <c r="E53" s="11">
        <v>112.44468498811091</v>
      </c>
      <c r="F53" s="11">
        <v>3600.922</v>
      </c>
      <c r="G53" s="4">
        <f t="shared" si="28"/>
        <v>0.30345921064273973</v>
      </c>
      <c r="M53" s="33" t="s">
        <v>597</v>
      </c>
      <c r="N53" s="11" t="s">
        <v>85</v>
      </c>
      <c r="O53" s="11">
        <v>2628.2778167134284</v>
      </c>
      <c r="P53" s="11">
        <v>3652.61</v>
      </c>
      <c r="Q53" s="11">
        <v>2530.4166491521605</v>
      </c>
      <c r="R53" s="11">
        <v>3601.7660000000001</v>
      </c>
      <c r="S53" s="4">
        <f t="shared" si="27"/>
        <v>3.7233951045418746E-2</v>
      </c>
    </row>
    <row r="54" spans="1:19" x14ac:dyDescent="0.3">
      <c r="A54" s="33"/>
      <c r="B54" s="11" t="s">
        <v>71</v>
      </c>
      <c r="C54" s="11">
        <v>192.30465255029085</v>
      </c>
      <c r="D54" s="11">
        <v>3601.0169999999998</v>
      </c>
      <c r="E54" s="11">
        <v>136.135364351471</v>
      </c>
      <c r="F54" s="11">
        <v>3600.1</v>
      </c>
      <c r="G54" s="4">
        <f t="shared" si="28"/>
        <v>0.29208491554373939</v>
      </c>
      <c r="M54" s="33"/>
      <c r="N54" s="11" t="s">
        <v>86</v>
      </c>
      <c r="O54" s="11">
        <v>2489.2333634341867</v>
      </c>
      <c r="P54" s="11">
        <v>3649.3110000000001</v>
      </c>
      <c r="Q54" s="11">
        <v>2444.015455984334</v>
      </c>
      <c r="R54" s="11">
        <v>3602.328</v>
      </c>
      <c r="S54" s="4">
        <f t="shared" si="27"/>
        <v>1.8165395062626547E-2</v>
      </c>
    </row>
    <row r="55" spans="1:19" x14ac:dyDescent="0.3">
      <c r="A55" s="33"/>
      <c r="B55" s="11" t="s">
        <v>72</v>
      </c>
      <c r="C55" s="11">
        <v>148.07209015376804</v>
      </c>
      <c r="D55" s="11">
        <v>3600.8310000000001</v>
      </c>
      <c r="E55" s="11">
        <v>112.49228066462901</v>
      </c>
      <c r="F55" s="11">
        <v>3600.2069999999999</v>
      </c>
      <c r="G55" s="4">
        <f t="shared" si="28"/>
        <v>0.2402870753846357</v>
      </c>
      <c r="M55" s="33"/>
      <c r="N55" s="11" t="s">
        <v>87</v>
      </c>
      <c r="O55" s="11">
        <v>2431.472135671559</v>
      </c>
      <c r="P55" s="11">
        <v>3654.4169999999999</v>
      </c>
      <c r="Q55" s="11">
        <v>2322.5820588080342</v>
      </c>
      <c r="R55" s="11">
        <v>3669.4569999999999</v>
      </c>
      <c r="S55" s="4">
        <f t="shared" si="27"/>
        <v>4.4783600546362032E-2</v>
      </c>
    </row>
    <row r="56" spans="1:19" x14ac:dyDescent="0.3">
      <c r="A56" s="33"/>
      <c r="B56" s="11" t="s">
        <v>73</v>
      </c>
      <c r="C56" s="11">
        <v>172.5957766878399</v>
      </c>
      <c r="D56" s="11">
        <v>3600.8</v>
      </c>
      <c r="E56" s="11">
        <v>128.2387680792381</v>
      </c>
      <c r="F56" s="11">
        <v>3600.8919999999998</v>
      </c>
      <c r="G56" s="4">
        <f t="shared" si="28"/>
        <v>0.25699938584723747</v>
      </c>
      <c r="M56" s="33"/>
      <c r="N56" s="11" t="s">
        <v>88</v>
      </c>
      <c r="O56" s="11">
        <v>2621.9457205559188</v>
      </c>
      <c r="P56" s="11">
        <v>3642.3420000000001</v>
      </c>
      <c r="Q56" s="11">
        <v>2497.0165783656589</v>
      </c>
      <c r="R56" s="11">
        <v>3602.1419999999998</v>
      </c>
      <c r="S56" s="4">
        <f t="shared" si="27"/>
        <v>4.764749369554902E-2</v>
      </c>
    </row>
    <row r="57" spans="1:19" x14ac:dyDescent="0.3">
      <c r="A57" s="33"/>
      <c r="B57" s="11" t="s">
        <v>74</v>
      </c>
      <c r="C57" s="11">
        <v>221.23502350238041</v>
      </c>
      <c r="D57" s="11">
        <v>3600.944</v>
      </c>
      <c r="E57" s="11">
        <v>164.89065281409654</v>
      </c>
      <c r="F57" s="11">
        <v>3600.3919999999998</v>
      </c>
      <c r="G57" s="4">
        <f t="shared" si="28"/>
        <v>0.25468106177898014</v>
      </c>
      <c r="M57" s="33"/>
      <c r="N57" s="11" t="s">
        <v>89</v>
      </c>
      <c r="O57" s="11">
        <v>2537.2195221448696</v>
      </c>
      <c r="P57" s="11">
        <v>3640.69</v>
      </c>
      <c r="Q57" s="11">
        <v>2337.4109040825592</v>
      </c>
      <c r="R57" s="11">
        <v>3602.127</v>
      </c>
      <c r="S57" s="4">
        <f t="shared" si="27"/>
        <v>7.8751017134457382E-2</v>
      </c>
    </row>
  </sheetData>
  <mergeCells count="32">
    <mergeCell ref="A23:A27"/>
    <mergeCell ref="M1:N1"/>
    <mergeCell ref="F1:G1"/>
    <mergeCell ref="M3:M7"/>
    <mergeCell ref="M8:M12"/>
    <mergeCell ref="M13:M17"/>
    <mergeCell ref="O1:Q1"/>
    <mergeCell ref="R1:S1"/>
    <mergeCell ref="A31:B31"/>
    <mergeCell ref="C31:D31"/>
    <mergeCell ref="E31:F31"/>
    <mergeCell ref="M31:N31"/>
    <mergeCell ref="O31:P31"/>
    <mergeCell ref="Q31:R31"/>
    <mergeCell ref="M18:M22"/>
    <mergeCell ref="M23:M27"/>
    <mergeCell ref="C1:E1"/>
    <mergeCell ref="A1:B1"/>
    <mergeCell ref="A3:A7"/>
    <mergeCell ref="A8:A12"/>
    <mergeCell ref="A13:A17"/>
    <mergeCell ref="A18:A22"/>
    <mergeCell ref="A33:A37"/>
    <mergeCell ref="A38:A42"/>
    <mergeCell ref="A43:A47"/>
    <mergeCell ref="A48:A52"/>
    <mergeCell ref="A53:A57"/>
    <mergeCell ref="M33:M37"/>
    <mergeCell ref="M38:M42"/>
    <mergeCell ref="M43:M47"/>
    <mergeCell ref="M48:M52"/>
    <mergeCell ref="M53:M57"/>
  </mergeCells>
  <phoneticPr fontId="2" type="noConversion"/>
  <conditionalFormatting sqref="T3:T27 H3:H27 G33:G57 S33:S57">
    <cfRule type="cellIs" dxfId="13" priority="3" operator="greaterThan">
      <formula>-0.0000001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C27E-AA0E-4EF3-904F-B60134036407}">
  <dimension ref="A1:AQ52"/>
  <sheetViews>
    <sheetView workbookViewId="0">
      <selection activeCell="I40" sqref="I40"/>
    </sheetView>
  </sheetViews>
  <sheetFormatPr defaultRowHeight="14" x14ac:dyDescent="0.3"/>
  <cols>
    <col min="1" max="1" width="20.08203125" bestFit="1" customWidth="1"/>
    <col min="2" max="2" width="12.33203125" bestFit="1" customWidth="1"/>
    <col min="3" max="3" width="8.1640625" bestFit="1" customWidth="1"/>
    <col min="4" max="4" width="7.1640625" bestFit="1" customWidth="1"/>
    <col min="5" max="5" width="9.9140625" bestFit="1" customWidth="1"/>
    <col min="6" max="6" width="11.33203125" bestFit="1" customWidth="1"/>
    <col min="7" max="9" width="12.33203125" bestFit="1" customWidth="1"/>
    <col min="10" max="10" width="9.9140625" bestFit="1" customWidth="1"/>
    <col min="11" max="11" width="11.33203125" bestFit="1" customWidth="1"/>
    <col min="14" max="14" width="21.58203125" bestFit="1" customWidth="1"/>
    <col min="15" max="15" width="8.6640625" bestFit="1" customWidth="1"/>
    <col min="16" max="17" width="9.58203125" bestFit="1" customWidth="1"/>
    <col min="18" max="18" width="8.58203125" bestFit="1" customWidth="1"/>
    <col min="19" max="19" width="11.33203125" bestFit="1" customWidth="1"/>
    <col min="20" max="21" width="9.58203125" bestFit="1" customWidth="1"/>
    <col min="22" max="22" width="8.58203125" bestFit="1" customWidth="1"/>
    <col min="23" max="23" width="11.33203125" bestFit="1" customWidth="1"/>
    <col min="24" max="24" width="10.83203125" bestFit="1" customWidth="1"/>
    <col min="29" max="29" width="21.58203125" bestFit="1" customWidth="1"/>
    <col min="31" max="31" width="9.58203125" bestFit="1" customWidth="1"/>
    <col min="32" max="32" width="11.33203125" bestFit="1" customWidth="1"/>
    <col min="33" max="33" width="9.58203125" bestFit="1" customWidth="1"/>
    <col min="34" max="34" width="11.33203125" bestFit="1" customWidth="1"/>
    <col min="35" max="35" width="7.6640625" bestFit="1" customWidth="1"/>
    <col min="37" max="37" width="21.58203125" bestFit="1" customWidth="1"/>
    <col min="39" max="39" width="9.58203125" bestFit="1" customWidth="1"/>
    <col min="40" max="40" width="6.58203125" bestFit="1" customWidth="1"/>
    <col min="41" max="41" width="9.58203125" bestFit="1" customWidth="1"/>
    <col min="42" max="42" width="6.58203125" bestFit="1" customWidth="1"/>
    <col min="43" max="43" width="7.6640625" bestFit="1" customWidth="1"/>
  </cols>
  <sheetData>
    <row r="1" spans="1:43" x14ac:dyDescent="0.3">
      <c r="B1" s="33" t="s">
        <v>806</v>
      </c>
      <c r="C1" s="33"/>
      <c r="D1" s="33"/>
      <c r="E1" s="33"/>
      <c r="F1" s="33"/>
      <c r="G1" s="33" t="s">
        <v>40</v>
      </c>
      <c r="H1" s="33"/>
      <c r="I1" s="33"/>
      <c r="J1" s="33"/>
      <c r="K1" s="33"/>
      <c r="N1" s="33" t="s">
        <v>90</v>
      </c>
      <c r="O1" s="33"/>
      <c r="P1" s="33" t="s">
        <v>806</v>
      </c>
      <c r="Q1" s="33"/>
      <c r="R1" s="33"/>
      <c r="S1" s="33"/>
      <c r="T1" s="33" t="s">
        <v>40</v>
      </c>
      <c r="U1" s="33"/>
      <c r="V1" s="33"/>
      <c r="W1" s="33"/>
      <c r="X1" s="33" t="s">
        <v>809</v>
      </c>
      <c r="Y1" s="33"/>
      <c r="Z1" s="33"/>
      <c r="AA1" s="11"/>
      <c r="AB1" s="11"/>
      <c r="AC1" s="33" t="s">
        <v>813</v>
      </c>
      <c r="AD1" s="33"/>
      <c r="AE1" s="33" t="s">
        <v>806</v>
      </c>
      <c r="AF1" s="33"/>
      <c r="AG1" s="33" t="s">
        <v>40</v>
      </c>
      <c r="AH1" s="33"/>
      <c r="AK1" s="33" t="s">
        <v>814</v>
      </c>
      <c r="AL1" s="33"/>
      <c r="AM1" s="33" t="s">
        <v>806</v>
      </c>
      <c r="AN1" s="33"/>
      <c r="AO1" s="33" t="s">
        <v>40</v>
      </c>
      <c r="AP1" s="33"/>
    </row>
    <row r="2" spans="1:43" x14ac:dyDescent="0.3">
      <c r="A2" t="s">
        <v>0</v>
      </c>
      <c r="B2" t="s">
        <v>7</v>
      </c>
      <c r="C2" t="s">
        <v>602</v>
      </c>
      <c r="D2" t="s">
        <v>11</v>
      </c>
      <c r="E2" t="s">
        <v>603</v>
      </c>
      <c r="F2" t="s">
        <v>604</v>
      </c>
      <c r="G2" t="s">
        <v>7</v>
      </c>
      <c r="H2" t="s">
        <v>602</v>
      </c>
      <c r="I2" t="s">
        <v>11</v>
      </c>
      <c r="J2" t="s">
        <v>603</v>
      </c>
      <c r="K2" t="s">
        <v>604</v>
      </c>
      <c r="N2" s="11" t="s">
        <v>38</v>
      </c>
      <c r="O2" s="11" t="s">
        <v>37</v>
      </c>
      <c r="P2" t="s">
        <v>7</v>
      </c>
      <c r="Q2" t="s">
        <v>602</v>
      </c>
      <c r="R2" t="s">
        <v>11</v>
      </c>
      <c r="T2" t="s">
        <v>7</v>
      </c>
      <c r="U2" t="s">
        <v>602</v>
      </c>
      <c r="V2" t="s">
        <v>11</v>
      </c>
      <c r="X2" t="s">
        <v>810</v>
      </c>
      <c r="Y2" t="s">
        <v>811</v>
      </c>
      <c r="Z2" t="s">
        <v>812</v>
      </c>
      <c r="AC2" s="11" t="s">
        <v>38</v>
      </c>
      <c r="AD2" s="11" t="s">
        <v>37</v>
      </c>
      <c r="AE2" t="s">
        <v>7</v>
      </c>
      <c r="AF2" t="s">
        <v>812</v>
      </c>
      <c r="AG2" t="s">
        <v>7</v>
      </c>
      <c r="AH2" t="s">
        <v>812</v>
      </c>
      <c r="AI2" t="s">
        <v>591</v>
      </c>
      <c r="AK2" s="11" t="s">
        <v>38</v>
      </c>
      <c r="AL2" s="11" t="s">
        <v>37</v>
      </c>
      <c r="AM2" t="s">
        <v>7</v>
      </c>
      <c r="AN2" t="s">
        <v>812</v>
      </c>
      <c r="AO2" t="s">
        <v>7</v>
      </c>
      <c r="AP2" t="s">
        <v>812</v>
      </c>
      <c r="AQ2" t="s">
        <v>591</v>
      </c>
    </row>
    <row r="3" spans="1:43" x14ac:dyDescent="0.3">
      <c r="A3" t="s">
        <v>607</v>
      </c>
      <c r="B3">
        <v>32.910009879999997</v>
      </c>
      <c r="C3">
        <v>5.6</v>
      </c>
      <c r="D3">
        <v>27.31</v>
      </c>
      <c r="E3">
        <v>0</v>
      </c>
      <c r="F3">
        <v>0.28000000000000003</v>
      </c>
      <c r="G3" s="1">
        <v>19.120358371209612</v>
      </c>
      <c r="H3" s="1">
        <v>5.4645068671508898</v>
      </c>
      <c r="I3" s="1">
        <v>13.65585150405872</v>
      </c>
      <c r="J3" s="1">
        <v>0</v>
      </c>
      <c r="K3" s="1">
        <v>784.38</v>
      </c>
      <c r="N3" s="33" t="s">
        <v>598</v>
      </c>
      <c r="O3" s="11" t="s">
        <v>50</v>
      </c>
      <c r="P3" s="13">
        <v>32.910009879999997</v>
      </c>
      <c r="Q3" s="13">
        <v>5.6</v>
      </c>
      <c r="R3" s="13">
        <v>27.31</v>
      </c>
      <c r="T3" s="13">
        <v>19.120358371209612</v>
      </c>
      <c r="U3" s="13">
        <v>5.4645068671508898</v>
      </c>
      <c r="V3" s="13">
        <v>13.65585150405872</v>
      </c>
      <c r="X3" s="12">
        <f>(P3-T3)/P3</f>
        <v>0.41901085897791246</v>
      </c>
      <c r="Y3" s="12">
        <f>(Q3-U3)/Q3</f>
        <v>2.4195202294483895E-2</v>
      </c>
      <c r="Z3" s="12">
        <f t="shared" ref="Z3" si="0">(R3-V3)/R3</f>
        <v>0.49996882079609223</v>
      </c>
      <c r="AA3" s="12"/>
      <c r="AB3" s="12"/>
      <c r="AC3" s="33" t="s">
        <v>598</v>
      </c>
      <c r="AD3" s="11" t="s">
        <v>50</v>
      </c>
      <c r="AE3" s="13">
        <v>32.910009879999997</v>
      </c>
      <c r="AF3" s="14">
        <v>0.28000000000000003</v>
      </c>
      <c r="AG3" s="13">
        <v>19.120358371209612</v>
      </c>
      <c r="AH3" s="14">
        <v>784.38</v>
      </c>
      <c r="AI3" s="12">
        <f>(AE3-AG3)/AE3</f>
        <v>0.41901085897791246</v>
      </c>
      <c r="AK3" s="33" t="s">
        <v>599</v>
      </c>
      <c r="AL3" s="11" t="s">
        <v>55</v>
      </c>
      <c r="AM3" s="13">
        <v>323.61072381999998</v>
      </c>
      <c r="AN3" s="14">
        <v>5.85</v>
      </c>
      <c r="AO3" s="13">
        <v>225.10988662137976</v>
      </c>
      <c r="AP3" s="14">
        <v>3602.3449999999998</v>
      </c>
      <c r="AQ3" s="12">
        <f t="shared" ref="AQ3:AQ27" si="1">(AM3-AO3)/AM3</f>
        <v>0.30438063373143576</v>
      </c>
    </row>
    <row r="4" spans="1:43" x14ac:dyDescent="0.3">
      <c r="A4" t="s">
        <v>611</v>
      </c>
      <c r="B4">
        <v>42.891180929999997</v>
      </c>
      <c r="C4">
        <v>7.09</v>
      </c>
      <c r="D4">
        <v>35.799999999999997</v>
      </c>
      <c r="E4">
        <v>0</v>
      </c>
      <c r="F4">
        <v>0.47</v>
      </c>
      <c r="G4" s="1">
        <v>22.152430125032968</v>
      </c>
      <c r="H4" s="1">
        <v>6.9614031365211906</v>
      </c>
      <c r="I4" s="1">
        <v>15.191026988511776</v>
      </c>
      <c r="J4" s="1">
        <v>0</v>
      </c>
      <c r="K4" s="1">
        <v>1784.1759999999999</v>
      </c>
      <c r="N4" s="33"/>
      <c r="O4" s="11" t="s">
        <v>51</v>
      </c>
      <c r="P4" s="13">
        <v>42.891180929999997</v>
      </c>
      <c r="Q4" s="13">
        <v>7.09</v>
      </c>
      <c r="R4" s="13">
        <v>35.799999999999997</v>
      </c>
      <c r="T4" s="13">
        <v>22.152430125032968</v>
      </c>
      <c r="U4" s="13">
        <v>6.9614031365211906</v>
      </c>
      <c r="V4" s="13">
        <v>15.191026988511776</v>
      </c>
      <c r="X4" s="12">
        <f t="shared" ref="X4:X52" si="2">(P4-T4)/P4</f>
        <v>0.48352016324319541</v>
      </c>
      <c r="Y4" s="12">
        <f t="shared" ref="Y4:Y52" si="3">(Q4-U4)/Q4</f>
        <v>1.8137780462455469E-2</v>
      </c>
      <c r="Z4" s="12">
        <f t="shared" ref="Z4:Z52" si="4">(R4-V4)/R4</f>
        <v>0.57566963719240849</v>
      </c>
      <c r="AA4" s="12"/>
      <c r="AB4" s="12"/>
      <c r="AC4" s="33"/>
      <c r="AD4" s="11" t="s">
        <v>51</v>
      </c>
      <c r="AE4" s="13">
        <v>42.891180929999997</v>
      </c>
      <c r="AF4" s="14">
        <v>0.47</v>
      </c>
      <c r="AG4" s="13">
        <v>22.152430125032968</v>
      </c>
      <c r="AH4" s="14">
        <v>1784.1759999999999</v>
      </c>
      <c r="AI4" s="12">
        <f t="shared" ref="AI4:AI27" si="5">(AE4-AG4)/AE4</f>
        <v>0.48352016324319541</v>
      </c>
      <c r="AK4" s="33"/>
      <c r="AL4" s="11" t="s">
        <v>56</v>
      </c>
      <c r="AM4" s="13">
        <v>338.56669997</v>
      </c>
      <c r="AN4" s="14">
        <v>4.5</v>
      </c>
      <c r="AO4" s="13">
        <v>238.98936419206723</v>
      </c>
      <c r="AP4" s="14">
        <v>3601.4760000000001</v>
      </c>
      <c r="AQ4" s="12">
        <f t="shared" si="1"/>
        <v>0.29411438214908969</v>
      </c>
    </row>
    <row r="5" spans="1:43" x14ac:dyDescent="0.3">
      <c r="A5" t="s">
        <v>615</v>
      </c>
      <c r="B5">
        <v>2.3320333999999998</v>
      </c>
      <c r="C5">
        <v>2.33</v>
      </c>
      <c r="D5">
        <v>0</v>
      </c>
      <c r="E5">
        <v>0</v>
      </c>
      <c r="F5">
        <v>0.27</v>
      </c>
      <c r="G5" s="1">
        <v>2.3320333963418576</v>
      </c>
      <c r="H5" s="1">
        <v>2.3320333963418576</v>
      </c>
      <c r="I5" s="1">
        <v>0</v>
      </c>
      <c r="J5" s="1">
        <v>0</v>
      </c>
      <c r="K5" s="1">
        <v>135.89400000000001</v>
      </c>
      <c r="N5" s="33"/>
      <c r="O5" s="11" t="s">
        <v>52</v>
      </c>
      <c r="P5" s="13">
        <v>2.3320333999999998</v>
      </c>
      <c r="Q5" s="13">
        <v>2.33</v>
      </c>
      <c r="R5" s="13">
        <v>0</v>
      </c>
      <c r="T5" s="13">
        <v>2.3320333963418576</v>
      </c>
      <c r="U5" s="13">
        <v>2.3320333963418576</v>
      </c>
      <c r="V5" s="13">
        <v>0</v>
      </c>
      <c r="X5" s="12">
        <f t="shared" si="2"/>
        <v>1.5686491598172416E-9</v>
      </c>
      <c r="Y5" s="12">
        <f t="shared" si="3"/>
        <v>-8.7270229264270699E-4</v>
      </c>
      <c r="Z5" s="12">
        <v>0</v>
      </c>
      <c r="AA5" s="12"/>
      <c r="AB5" s="12"/>
      <c r="AC5" s="33"/>
      <c r="AD5" s="11" t="s">
        <v>52</v>
      </c>
      <c r="AE5" s="13">
        <v>2.3320333999999998</v>
      </c>
      <c r="AF5" s="14">
        <v>0.27</v>
      </c>
      <c r="AG5" s="13">
        <v>2.3320333963418576</v>
      </c>
      <c r="AH5" s="14">
        <v>135.89400000000001</v>
      </c>
      <c r="AI5" s="12">
        <f t="shared" si="5"/>
        <v>1.5686491598172416E-9</v>
      </c>
      <c r="AK5" s="33"/>
      <c r="AL5" s="11" t="s">
        <v>57</v>
      </c>
      <c r="AM5" s="13">
        <v>165.01941228999999</v>
      </c>
      <c r="AN5" s="14">
        <v>7.1</v>
      </c>
      <c r="AO5" s="13">
        <v>123.24506749593867</v>
      </c>
      <c r="AP5" s="14">
        <v>3600.4070000000002</v>
      </c>
      <c r="AQ5" s="12">
        <f t="shared" si="1"/>
        <v>0.2531480643056005</v>
      </c>
    </row>
    <row r="6" spans="1:43" x14ac:dyDescent="0.3">
      <c r="A6" t="s">
        <v>619</v>
      </c>
      <c r="B6">
        <v>4.0228502900000001</v>
      </c>
      <c r="C6">
        <v>4.0199999999999996</v>
      </c>
      <c r="D6">
        <v>0</v>
      </c>
      <c r="E6">
        <v>0</v>
      </c>
      <c r="F6">
        <v>0.31</v>
      </c>
      <c r="G6" s="1">
        <v>3.9682502908400066</v>
      </c>
      <c r="H6" s="1">
        <v>3.9682502908400066</v>
      </c>
      <c r="I6" s="1">
        <v>0</v>
      </c>
      <c r="J6" s="1">
        <v>0</v>
      </c>
      <c r="K6" s="1">
        <v>750.221</v>
      </c>
      <c r="N6" s="33"/>
      <c r="O6" s="11" t="s">
        <v>53</v>
      </c>
      <c r="P6" s="13">
        <v>4.0228502900000001</v>
      </c>
      <c r="Q6" s="13">
        <v>4.0199999999999996</v>
      </c>
      <c r="R6" s="13">
        <v>0</v>
      </c>
      <c r="T6" s="13">
        <v>3.9682502908400066</v>
      </c>
      <c r="U6" s="13">
        <v>3.9682502908400066</v>
      </c>
      <c r="V6" s="13">
        <v>0</v>
      </c>
      <c r="X6" s="12">
        <f t="shared" si="2"/>
        <v>1.3572466093435823E-2</v>
      </c>
      <c r="Y6" s="12">
        <f t="shared" si="3"/>
        <v>1.2873061980097762E-2</v>
      </c>
      <c r="Z6" s="12">
        <v>0</v>
      </c>
      <c r="AA6" s="12"/>
      <c r="AB6" s="12"/>
      <c r="AC6" s="33"/>
      <c r="AD6" s="11" t="s">
        <v>53</v>
      </c>
      <c r="AE6" s="13">
        <v>4.0228502900000001</v>
      </c>
      <c r="AF6" s="14">
        <v>0.31</v>
      </c>
      <c r="AG6" s="13">
        <v>3.9682502908400066</v>
      </c>
      <c r="AH6" s="14">
        <v>750.221</v>
      </c>
      <c r="AI6" s="12">
        <f t="shared" si="5"/>
        <v>1.3572466093435823E-2</v>
      </c>
      <c r="AK6" s="33"/>
      <c r="AL6" s="11" t="s">
        <v>58</v>
      </c>
      <c r="AM6" s="13">
        <v>147.71197531999999</v>
      </c>
      <c r="AN6" s="14">
        <v>4.3600000000000003</v>
      </c>
      <c r="AO6" s="13">
        <v>127.98914761587699</v>
      </c>
      <c r="AP6" s="14">
        <v>3600.2559999999999</v>
      </c>
      <c r="AQ6" s="12">
        <f t="shared" si="1"/>
        <v>0.13352219859896872</v>
      </c>
    </row>
    <row r="7" spans="1:43" x14ac:dyDescent="0.3">
      <c r="A7" t="s">
        <v>623</v>
      </c>
      <c r="B7">
        <v>3.8937994100000002</v>
      </c>
      <c r="C7">
        <v>3.89</v>
      </c>
      <c r="D7">
        <v>0</v>
      </c>
      <c r="E7">
        <v>0</v>
      </c>
      <c r="F7">
        <v>0.09</v>
      </c>
      <c r="G7" s="1">
        <v>3.7953994136695393</v>
      </c>
      <c r="H7" s="1">
        <v>3.7953994136695393</v>
      </c>
      <c r="I7" s="1">
        <v>0</v>
      </c>
      <c r="J7" s="1">
        <v>0</v>
      </c>
      <c r="K7" s="1">
        <v>708.14300000000003</v>
      </c>
      <c r="N7" s="33"/>
      <c r="O7" s="11" t="s">
        <v>54</v>
      </c>
      <c r="P7" s="13">
        <v>3.8937994100000002</v>
      </c>
      <c r="Q7" s="13">
        <v>3.89</v>
      </c>
      <c r="R7" s="13">
        <v>0</v>
      </c>
      <c r="T7" s="13">
        <v>3.7953994136695393</v>
      </c>
      <c r="U7" s="13">
        <v>3.7953994136695393</v>
      </c>
      <c r="V7" s="13">
        <v>0</v>
      </c>
      <c r="X7" s="12">
        <f t="shared" si="2"/>
        <v>2.5270946438008968E-2</v>
      </c>
      <c r="Y7" s="12">
        <f t="shared" si="3"/>
        <v>2.4318916794462946E-2</v>
      </c>
      <c r="Z7" s="12">
        <v>0</v>
      </c>
      <c r="AA7" s="12"/>
      <c r="AB7" s="12"/>
      <c r="AC7" s="33"/>
      <c r="AD7" s="11" t="s">
        <v>54</v>
      </c>
      <c r="AE7" s="13">
        <v>3.8937994100000002</v>
      </c>
      <c r="AF7" s="14">
        <v>0.09</v>
      </c>
      <c r="AG7" s="13">
        <v>3.7953994136695393</v>
      </c>
      <c r="AH7" s="14">
        <v>708.14300000000003</v>
      </c>
      <c r="AI7" s="12">
        <f t="shared" si="5"/>
        <v>2.5270946438008968E-2</v>
      </c>
      <c r="AK7" s="33"/>
      <c r="AL7" s="11" t="s">
        <v>59</v>
      </c>
      <c r="AM7" s="13">
        <v>307.55923868999997</v>
      </c>
      <c r="AN7" s="14">
        <v>6.96</v>
      </c>
      <c r="AO7" s="13">
        <v>216.13564150369564</v>
      </c>
      <c r="AP7" s="14">
        <v>3600.8249999999998</v>
      </c>
      <c r="AQ7" s="12">
        <f t="shared" si="1"/>
        <v>0.29725524609733306</v>
      </c>
    </row>
    <row r="8" spans="1:43" x14ac:dyDescent="0.3">
      <c r="A8" t="s">
        <v>627</v>
      </c>
      <c r="B8">
        <v>55.931089980000003</v>
      </c>
      <c r="C8">
        <v>25.9</v>
      </c>
      <c r="D8">
        <v>30.04</v>
      </c>
      <c r="E8">
        <v>0</v>
      </c>
      <c r="F8">
        <v>0.61</v>
      </c>
      <c r="G8" s="1">
        <v>40.118458749796645</v>
      </c>
      <c r="H8" s="1">
        <v>25.100885230258271</v>
      </c>
      <c r="I8" s="1">
        <v>15.017573519538377</v>
      </c>
      <c r="J8" s="1">
        <v>0</v>
      </c>
      <c r="K8" s="1">
        <v>3600.4140000000002</v>
      </c>
      <c r="N8" s="33" t="s">
        <v>599</v>
      </c>
      <c r="O8" s="11" t="s">
        <v>55</v>
      </c>
      <c r="P8" s="13">
        <v>55.931089980000003</v>
      </c>
      <c r="Q8" s="13">
        <v>25.9</v>
      </c>
      <c r="R8" s="13">
        <v>30.04</v>
      </c>
      <c r="T8" s="13">
        <v>40.118458749796645</v>
      </c>
      <c r="U8" s="13">
        <v>25.100885230258271</v>
      </c>
      <c r="V8" s="13">
        <v>15.017573519538377</v>
      </c>
      <c r="X8" s="12">
        <f t="shared" si="2"/>
        <v>0.28271630743934517</v>
      </c>
      <c r="Y8" s="12">
        <f t="shared" si="3"/>
        <v>3.0853852113580216E-2</v>
      </c>
      <c r="Z8" s="12">
        <f t="shared" si="4"/>
        <v>0.50008077498207792</v>
      </c>
      <c r="AA8" s="12"/>
      <c r="AB8" s="12"/>
      <c r="AC8" s="33" t="s">
        <v>599</v>
      </c>
      <c r="AD8" s="11" t="s">
        <v>55</v>
      </c>
      <c r="AE8" s="13">
        <v>55.931089980000003</v>
      </c>
      <c r="AF8" s="14">
        <v>0.61</v>
      </c>
      <c r="AG8" s="13">
        <v>40.118458749796645</v>
      </c>
      <c r="AH8" s="14">
        <v>3600.4140000000002</v>
      </c>
      <c r="AI8" s="12">
        <f t="shared" si="5"/>
        <v>0.28271630743934517</v>
      </c>
      <c r="AK8" s="33" t="s">
        <v>592</v>
      </c>
      <c r="AL8" s="11" t="s">
        <v>65</v>
      </c>
      <c r="AM8" s="13">
        <v>669.02320264000002</v>
      </c>
      <c r="AN8" s="14">
        <v>147.91</v>
      </c>
      <c r="AO8" s="13">
        <v>525.2524278292135</v>
      </c>
      <c r="AP8" s="14">
        <v>3600.2510000000002</v>
      </c>
      <c r="AQ8" s="12">
        <f t="shared" si="1"/>
        <v>0.21489654505771943</v>
      </c>
    </row>
    <row r="9" spans="1:43" x14ac:dyDescent="0.3">
      <c r="A9" t="s">
        <v>631</v>
      </c>
      <c r="B9">
        <v>57.656505899999999</v>
      </c>
      <c r="C9">
        <v>26.78</v>
      </c>
      <c r="D9">
        <v>30.87</v>
      </c>
      <c r="E9">
        <v>0</v>
      </c>
      <c r="F9">
        <v>0.38</v>
      </c>
      <c r="G9" s="1">
        <v>41.898026514197895</v>
      </c>
      <c r="H9" s="1">
        <v>26.462214827604452</v>
      </c>
      <c r="I9" s="1">
        <v>15.435811686593444</v>
      </c>
      <c r="J9" s="1">
        <v>0</v>
      </c>
      <c r="K9" s="1">
        <v>3600.0569999999998</v>
      </c>
      <c r="N9" s="33"/>
      <c r="O9" s="11" t="s">
        <v>56</v>
      </c>
      <c r="P9" s="13">
        <v>57.656505899999999</v>
      </c>
      <c r="Q9" s="13">
        <v>26.78</v>
      </c>
      <c r="R9" s="13">
        <v>30.87</v>
      </c>
      <c r="T9" s="13">
        <v>41.898026514197895</v>
      </c>
      <c r="U9" s="13">
        <v>26.462214827604452</v>
      </c>
      <c r="V9" s="13">
        <v>15.435811686593444</v>
      </c>
      <c r="X9" s="12">
        <f t="shared" si="2"/>
        <v>0.273316586564121</v>
      </c>
      <c r="Y9" s="12">
        <f t="shared" si="3"/>
        <v>1.1866511291842761E-2</v>
      </c>
      <c r="Z9" s="12">
        <f t="shared" si="4"/>
        <v>0.49997370629758847</v>
      </c>
      <c r="AA9" s="12"/>
      <c r="AB9" s="12"/>
      <c r="AC9" s="33"/>
      <c r="AD9" s="11" t="s">
        <v>56</v>
      </c>
      <c r="AE9" s="13">
        <v>57.656505899999999</v>
      </c>
      <c r="AF9" s="14">
        <v>0.38</v>
      </c>
      <c r="AG9" s="13">
        <v>41.898026514197895</v>
      </c>
      <c r="AH9" s="14">
        <v>3600.0569999999998</v>
      </c>
      <c r="AI9" s="12">
        <f t="shared" si="5"/>
        <v>0.273316586564121</v>
      </c>
      <c r="AK9" s="33"/>
      <c r="AL9" s="11" t="s">
        <v>66</v>
      </c>
      <c r="AM9" s="13">
        <v>875.64707764000002</v>
      </c>
      <c r="AN9" s="14">
        <v>21.33</v>
      </c>
      <c r="AO9" s="13">
        <v>630.57472931700363</v>
      </c>
      <c r="AP9" s="14">
        <v>3600.527</v>
      </c>
      <c r="AQ9" s="12">
        <f t="shared" si="1"/>
        <v>0.27987571086687468</v>
      </c>
    </row>
    <row r="10" spans="1:43" x14ac:dyDescent="0.3">
      <c r="A10" t="s">
        <v>635</v>
      </c>
      <c r="B10">
        <v>20.29128236</v>
      </c>
      <c r="C10">
        <v>20.29</v>
      </c>
      <c r="D10">
        <v>0</v>
      </c>
      <c r="E10">
        <v>0</v>
      </c>
      <c r="F10">
        <v>0.55000000000000004</v>
      </c>
      <c r="G10" s="1">
        <v>19.868326224054695</v>
      </c>
      <c r="H10" s="1">
        <v>19.868326224054695</v>
      </c>
      <c r="I10" s="1">
        <v>0</v>
      </c>
      <c r="J10" s="1">
        <v>0</v>
      </c>
      <c r="K10" s="1">
        <v>3600.5169999999998</v>
      </c>
      <c r="N10" s="33"/>
      <c r="O10" s="11" t="s">
        <v>57</v>
      </c>
      <c r="P10" s="13">
        <v>20.29128236</v>
      </c>
      <c r="Q10" s="13">
        <v>20.29</v>
      </c>
      <c r="R10" s="13">
        <v>0</v>
      </c>
      <c r="T10" s="13">
        <v>19.868326224054695</v>
      </c>
      <c r="U10" s="13">
        <v>19.868326224054695</v>
      </c>
      <c r="V10" s="13">
        <v>0</v>
      </c>
      <c r="X10" s="12">
        <f t="shared" si="2"/>
        <v>2.0844228986684199E-2</v>
      </c>
      <c r="Y10" s="12">
        <f t="shared" si="3"/>
        <v>2.0782344797698603E-2</v>
      </c>
      <c r="Z10" s="12">
        <v>0</v>
      </c>
      <c r="AA10" s="12"/>
      <c r="AB10" s="12"/>
      <c r="AC10" s="33"/>
      <c r="AD10" s="11" t="s">
        <v>57</v>
      </c>
      <c r="AE10" s="13">
        <v>20.29128236</v>
      </c>
      <c r="AF10" s="14">
        <v>0.55000000000000004</v>
      </c>
      <c r="AG10" s="13">
        <v>19.868326224054695</v>
      </c>
      <c r="AH10" s="14">
        <v>3600.5169999999998</v>
      </c>
      <c r="AI10" s="12">
        <f t="shared" si="5"/>
        <v>2.0844228986684199E-2</v>
      </c>
      <c r="AK10" s="33"/>
      <c r="AL10" s="11" t="s">
        <v>67</v>
      </c>
      <c r="AM10" s="13">
        <v>615.18325637999999</v>
      </c>
      <c r="AN10" s="14">
        <v>31.22</v>
      </c>
      <c r="AO10" s="13">
        <v>469.27501128934068</v>
      </c>
      <c r="AP10" s="14">
        <v>3601.2370000000001</v>
      </c>
      <c r="AQ10" s="12">
        <f t="shared" si="1"/>
        <v>0.23717850506732824</v>
      </c>
    </row>
    <row r="11" spans="1:43" x14ac:dyDescent="0.3">
      <c r="A11" t="s">
        <v>639</v>
      </c>
      <c r="B11">
        <v>28.936699690000001</v>
      </c>
      <c r="C11">
        <v>21.41</v>
      </c>
      <c r="D11">
        <v>7.52</v>
      </c>
      <c r="E11">
        <v>0</v>
      </c>
      <c r="F11">
        <v>1.78</v>
      </c>
      <c r="G11" s="1">
        <v>23.117820147610626</v>
      </c>
      <c r="H11" s="1">
        <v>20.512891739073929</v>
      </c>
      <c r="I11" s="1">
        <v>2.6049284085366962</v>
      </c>
      <c r="J11" s="1">
        <v>0</v>
      </c>
      <c r="K11" s="1">
        <v>3600.1170000000002</v>
      </c>
      <c r="N11" s="33"/>
      <c r="O11" s="11" t="s">
        <v>58</v>
      </c>
      <c r="P11" s="13">
        <v>28.936699690000001</v>
      </c>
      <c r="Q11" s="13">
        <v>21.41</v>
      </c>
      <c r="R11" s="13">
        <v>7.52</v>
      </c>
      <c r="T11" s="13">
        <v>23.117820147610626</v>
      </c>
      <c r="U11" s="13">
        <v>20.512891739073929</v>
      </c>
      <c r="V11" s="13">
        <v>2.6049284085366962</v>
      </c>
      <c r="X11" s="12">
        <f t="shared" si="2"/>
        <v>0.20108995167822385</v>
      </c>
      <c r="Y11" s="12">
        <f t="shared" si="3"/>
        <v>4.1901366694351759E-2</v>
      </c>
      <c r="Z11" s="12">
        <f t="shared" si="4"/>
        <v>0.6535999456733117</v>
      </c>
      <c r="AA11" s="12"/>
      <c r="AB11" s="12"/>
      <c r="AC11" s="33"/>
      <c r="AD11" s="11" t="s">
        <v>58</v>
      </c>
      <c r="AE11" s="13">
        <v>28.936699690000001</v>
      </c>
      <c r="AF11" s="14">
        <v>1.78</v>
      </c>
      <c r="AG11" s="13">
        <v>23.117820147610626</v>
      </c>
      <c r="AH11" s="14">
        <v>3600.1170000000002</v>
      </c>
      <c r="AI11" s="12">
        <f t="shared" si="5"/>
        <v>0.20108995167822385</v>
      </c>
      <c r="AK11" s="33"/>
      <c r="AL11" s="11" t="s">
        <v>68</v>
      </c>
      <c r="AM11" s="13">
        <v>872.76363796999999</v>
      </c>
      <c r="AN11" s="14">
        <v>114.67</v>
      </c>
      <c r="AO11" s="13">
        <v>677.61251058916673</v>
      </c>
      <c r="AP11" s="14">
        <v>3600.9369999999999</v>
      </c>
      <c r="AQ11" s="12">
        <f t="shared" si="1"/>
        <v>0.22360134965606954</v>
      </c>
    </row>
    <row r="12" spans="1:43" x14ac:dyDescent="0.3">
      <c r="A12" t="s">
        <v>643</v>
      </c>
      <c r="B12">
        <v>47.283948359999997</v>
      </c>
      <c r="C12">
        <v>23.19</v>
      </c>
      <c r="D12">
        <v>24.09</v>
      </c>
      <c r="E12">
        <v>0</v>
      </c>
      <c r="F12">
        <v>0.35</v>
      </c>
      <c r="G12" s="1">
        <v>34.23259926627064</v>
      </c>
      <c r="H12" s="1">
        <v>22.185204126448042</v>
      </c>
      <c r="I12" s="1">
        <v>12.047395139822598</v>
      </c>
      <c r="J12" s="1">
        <v>0</v>
      </c>
      <c r="K12" s="1">
        <v>3600.277</v>
      </c>
      <c r="N12" s="33"/>
      <c r="O12" s="11" t="s">
        <v>59</v>
      </c>
      <c r="P12" s="13">
        <v>47.283948359999997</v>
      </c>
      <c r="Q12" s="13">
        <v>23.19</v>
      </c>
      <c r="R12" s="13">
        <v>24.09</v>
      </c>
      <c r="T12" s="13">
        <v>34.23259926627064</v>
      </c>
      <c r="U12" s="13">
        <v>22.185204126448042</v>
      </c>
      <c r="V12" s="13">
        <v>12.047395139822598</v>
      </c>
      <c r="X12" s="12">
        <f t="shared" si="2"/>
        <v>0.27602071202603262</v>
      </c>
      <c r="Y12" s="12">
        <f t="shared" si="3"/>
        <v>4.3328843188959E-2</v>
      </c>
      <c r="Z12" s="12">
        <f t="shared" si="4"/>
        <v>0.4999005753498299</v>
      </c>
      <c r="AA12" s="12"/>
      <c r="AB12" s="12"/>
      <c r="AC12" s="33"/>
      <c r="AD12" s="11" t="s">
        <v>59</v>
      </c>
      <c r="AE12" s="13">
        <v>47.283948359999997</v>
      </c>
      <c r="AF12" s="14">
        <v>0.35</v>
      </c>
      <c r="AG12" s="13">
        <v>34.23259926627064</v>
      </c>
      <c r="AH12" s="14">
        <v>3600.277</v>
      </c>
      <c r="AI12" s="12">
        <f t="shared" si="5"/>
        <v>0.27602071202603262</v>
      </c>
      <c r="AK12" s="33"/>
      <c r="AL12" s="11" t="s">
        <v>69</v>
      </c>
      <c r="AM12" s="13">
        <v>673.31434578000005</v>
      </c>
      <c r="AN12" s="14">
        <v>63.43</v>
      </c>
      <c r="AO12" s="13">
        <v>533.85078008975802</v>
      </c>
      <c r="AP12" s="14">
        <v>3606.3710000000001</v>
      </c>
      <c r="AQ12" s="12">
        <f t="shared" si="1"/>
        <v>0.20712994838789697</v>
      </c>
    </row>
    <row r="13" spans="1:43" x14ac:dyDescent="0.3">
      <c r="A13" t="s">
        <v>667</v>
      </c>
      <c r="B13">
        <v>122.67071694000001</v>
      </c>
      <c r="C13">
        <v>63.08</v>
      </c>
      <c r="D13">
        <v>59.59</v>
      </c>
      <c r="E13">
        <v>0</v>
      </c>
      <c r="F13">
        <v>1.25</v>
      </c>
      <c r="G13" s="1">
        <v>87.71120226777964</v>
      </c>
      <c r="H13" s="1">
        <v>61.329032873419123</v>
      </c>
      <c r="I13" s="1">
        <v>26.382169394360517</v>
      </c>
      <c r="J13" s="1">
        <v>0</v>
      </c>
      <c r="K13" s="1">
        <v>3600.5259999999998</v>
      </c>
      <c r="N13" s="33" t="s">
        <v>593</v>
      </c>
      <c r="O13" s="11" t="s">
        <v>60</v>
      </c>
      <c r="P13" s="13">
        <v>122.67071694000001</v>
      </c>
      <c r="Q13" s="13">
        <v>63.08</v>
      </c>
      <c r="R13" s="13">
        <v>59.59</v>
      </c>
      <c r="T13" s="13">
        <v>87.71120226777964</v>
      </c>
      <c r="U13" s="13">
        <v>61.329032873419123</v>
      </c>
      <c r="V13" s="13">
        <v>26.382169394360517</v>
      </c>
      <c r="X13" s="12">
        <f t="shared" si="2"/>
        <v>0.28498663368307825</v>
      </c>
      <c r="Y13" s="12">
        <f t="shared" si="3"/>
        <v>2.7757880890628962E-2</v>
      </c>
      <c r="Z13" s="12">
        <f t="shared" si="4"/>
        <v>0.55727186785768557</v>
      </c>
      <c r="AA13" s="12"/>
      <c r="AB13" s="12"/>
      <c r="AC13" s="33" t="s">
        <v>593</v>
      </c>
      <c r="AD13" s="11" t="s">
        <v>60</v>
      </c>
      <c r="AE13" s="13">
        <v>122.67071694000001</v>
      </c>
      <c r="AF13" s="14">
        <v>1.25</v>
      </c>
      <c r="AG13" s="13">
        <v>87.71120226777964</v>
      </c>
      <c r="AH13" s="14">
        <v>3600.5259999999998</v>
      </c>
      <c r="AI13" s="12">
        <f t="shared" si="5"/>
        <v>0.28498663368307825</v>
      </c>
      <c r="AK13" s="33" t="s">
        <v>594</v>
      </c>
      <c r="AL13" s="11" t="s">
        <v>75</v>
      </c>
      <c r="AM13" s="13">
        <v>1208.5581307499999</v>
      </c>
      <c r="AN13" s="14">
        <v>3600.93</v>
      </c>
      <c r="AO13" s="13">
        <v>1208.5581307509215</v>
      </c>
      <c r="AP13" s="14">
        <v>3602.0920000000001</v>
      </c>
      <c r="AQ13" s="12">
        <f t="shared" si="1"/>
        <v>-7.6251649227624017E-13</v>
      </c>
    </row>
    <row r="14" spans="1:43" x14ac:dyDescent="0.3">
      <c r="A14" t="s">
        <v>671</v>
      </c>
      <c r="B14">
        <v>114.29318171</v>
      </c>
      <c r="C14">
        <v>45.02</v>
      </c>
      <c r="D14">
        <v>69.27</v>
      </c>
      <c r="E14">
        <v>0</v>
      </c>
      <c r="F14">
        <v>1.21</v>
      </c>
      <c r="G14" s="1">
        <v>75.236867826458607</v>
      </c>
      <c r="H14" s="1">
        <v>43.28027923329676</v>
      </c>
      <c r="I14" s="1">
        <v>31.95658859316185</v>
      </c>
      <c r="J14" s="1">
        <v>0</v>
      </c>
      <c r="K14" s="1">
        <v>3600.5230000000001</v>
      </c>
      <c r="N14" s="33"/>
      <c r="O14" s="11" t="s">
        <v>61</v>
      </c>
      <c r="P14" s="13">
        <v>114.29318171</v>
      </c>
      <c r="Q14" s="13">
        <v>45.02</v>
      </c>
      <c r="R14" s="13">
        <v>69.27</v>
      </c>
      <c r="T14" s="13">
        <v>75.236867826458607</v>
      </c>
      <c r="U14" s="13">
        <v>43.28027923329676</v>
      </c>
      <c r="V14" s="13">
        <v>31.95658859316185</v>
      </c>
      <c r="X14" s="12">
        <f t="shared" si="2"/>
        <v>0.34172041848165813</v>
      </c>
      <c r="Y14" s="12">
        <f t="shared" si="3"/>
        <v>3.864328668821064E-2</v>
      </c>
      <c r="Z14" s="12">
        <f t="shared" si="4"/>
        <v>0.53866625388823652</v>
      </c>
      <c r="AA14" s="12"/>
      <c r="AB14" s="12"/>
      <c r="AC14" s="33"/>
      <c r="AD14" s="11" t="s">
        <v>61</v>
      </c>
      <c r="AE14" s="13">
        <v>114.29318171</v>
      </c>
      <c r="AF14" s="14">
        <v>1.21</v>
      </c>
      <c r="AG14" s="13">
        <v>75.236867826458607</v>
      </c>
      <c r="AH14" s="14">
        <v>3600.5230000000001</v>
      </c>
      <c r="AI14" s="12">
        <f t="shared" si="5"/>
        <v>0.34172041848165813</v>
      </c>
      <c r="AK14" s="33"/>
      <c r="AL14" s="11" t="s">
        <v>76</v>
      </c>
      <c r="AM14" s="13">
        <v>1375.20956692</v>
      </c>
      <c r="AN14" s="14">
        <v>247.29</v>
      </c>
      <c r="AO14" s="13">
        <v>1186.7271707572488</v>
      </c>
      <c r="AP14" s="14">
        <v>3601.462</v>
      </c>
      <c r="AQ14" s="12">
        <f t="shared" si="1"/>
        <v>0.13705721709374627</v>
      </c>
    </row>
    <row r="15" spans="1:43" x14ac:dyDescent="0.3">
      <c r="A15" t="s">
        <v>675</v>
      </c>
      <c r="B15">
        <v>116.93704515</v>
      </c>
      <c r="C15">
        <v>56.74</v>
      </c>
      <c r="D15">
        <v>60.19</v>
      </c>
      <c r="E15">
        <v>0</v>
      </c>
      <c r="F15">
        <v>3.95</v>
      </c>
      <c r="G15" s="1">
        <v>78.281067711821493</v>
      </c>
      <c r="H15" s="1">
        <v>55.734314784492213</v>
      </c>
      <c r="I15" s="1">
        <v>22.546752927329283</v>
      </c>
      <c r="J15" s="1">
        <v>0</v>
      </c>
      <c r="K15" s="1">
        <v>3600.2649999999999</v>
      </c>
      <c r="N15" s="33"/>
      <c r="O15" s="11" t="s">
        <v>62</v>
      </c>
      <c r="P15" s="13">
        <v>116.93704515</v>
      </c>
      <c r="Q15" s="13">
        <v>56.74</v>
      </c>
      <c r="R15" s="13">
        <v>60.19</v>
      </c>
      <c r="T15" s="13">
        <v>78.281067711821493</v>
      </c>
      <c r="U15" s="13">
        <v>55.734314784492213</v>
      </c>
      <c r="V15" s="13">
        <v>22.546752927329283</v>
      </c>
      <c r="X15" s="12">
        <f t="shared" si="2"/>
        <v>0.33057084167461975</v>
      </c>
      <c r="Y15" s="12">
        <f t="shared" si="3"/>
        <v>1.7724448634257827E-2</v>
      </c>
      <c r="Z15" s="12">
        <f t="shared" si="4"/>
        <v>0.62540699572471703</v>
      </c>
      <c r="AA15" s="12"/>
      <c r="AB15" s="12"/>
      <c r="AC15" s="33"/>
      <c r="AD15" s="11" t="s">
        <v>62</v>
      </c>
      <c r="AE15" s="13">
        <v>116.93704515</v>
      </c>
      <c r="AF15" s="14">
        <v>3.95</v>
      </c>
      <c r="AG15" s="13">
        <v>78.281067711821493</v>
      </c>
      <c r="AH15" s="14">
        <v>3600.2649999999999</v>
      </c>
      <c r="AI15" s="12">
        <f t="shared" si="5"/>
        <v>0.33057084167461975</v>
      </c>
      <c r="AK15" s="33"/>
      <c r="AL15" s="11" t="s">
        <v>77</v>
      </c>
      <c r="AM15" s="13">
        <v>1203.52692695</v>
      </c>
      <c r="AN15" s="14">
        <v>352.94</v>
      </c>
      <c r="AO15" s="13">
        <v>1031.6821416486048</v>
      </c>
      <c r="AP15" s="14">
        <v>3601.6889999999999</v>
      </c>
      <c r="AQ15" s="12">
        <f t="shared" si="1"/>
        <v>0.14278432950136594</v>
      </c>
    </row>
    <row r="16" spans="1:43" x14ac:dyDescent="0.3">
      <c r="A16" t="s">
        <v>679</v>
      </c>
      <c r="B16">
        <v>126.72051441000001</v>
      </c>
      <c r="C16">
        <v>45.67</v>
      </c>
      <c r="D16">
        <v>81.05</v>
      </c>
      <c r="E16">
        <v>0</v>
      </c>
      <c r="F16">
        <v>1.37</v>
      </c>
      <c r="G16" s="1">
        <v>79.823886337707364</v>
      </c>
      <c r="H16" s="1">
        <v>43.904297607071889</v>
      </c>
      <c r="I16" s="1">
        <v>35.919588730635482</v>
      </c>
      <c r="J16" s="1">
        <v>0</v>
      </c>
      <c r="K16" s="1">
        <v>3600.5659999999998</v>
      </c>
      <c r="N16" s="33"/>
      <c r="O16" s="11" t="s">
        <v>63</v>
      </c>
      <c r="P16" s="13">
        <v>126.72051441000001</v>
      </c>
      <c r="Q16" s="13">
        <v>45.67</v>
      </c>
      <c r="R16" s="13">
        <v>81.05</v>
      </c>
      <c r="T16" s="13">
        <v>79.823886337707364</v>
      </c>
      <c r="U16" s="13">
        <v>43.904297607071889</v>
      </c>
      <c r="V16" s="13">
        <v>35.919588730635482</v>
      </c>
      <c r="X16" s="12">
        <f t="shared" si="2"/>
        <v>0.37007921164650709</v>
      </c>
      <c r="Y16" s="12">
        <f t="shared" si="3"/>
        <v>3.8662193845590373E-2</v>
      </c>
      <c r="Z16" s="12">
        <f t="shared" si="4"/>
        <v>0.55682185403287499</v>
      </c>
      <c r="AA16" s="12"/>
      <c r="AB16" s="12"/>
      <c r="AC16" s="33"/>
      <c r="AD16" s="11" t="s">
        <v>63</v>
      </c>
      <c r="AE16" s="13">
        <v>126.72051441000001</v>
      </c>
      <c r="AF16" s="14">
        <v>1.37</v>
      </c>
      <c r="AG16" s="13">
        <v>79.823886337707364</v>
      </c>
      <c r="AH16" s="14">
        <v>3600.5659999999998</v>
      </c>
      <c r="AI16" s="12">
        <f t="shared" si="5"/>
        <v>0.37007921164650709</v>
      </c>
      <c r="AK16" s="33"/>
      <c r="AL16" s="11" t="s">
        <v>78</v>
      </c>
      <c r="AM16" s="13">
        <v>1255.0435796500001</v>
      </c>
      <c r="AN16" s="14">
        <v>270.94</v>
      </c>
      <c r="AO16" s="13">
        <v>1103.9327734666153</v>
      </c>
      <c r="AP16" s="14">
        <v>3600.875</v>
      </c>
      <c r="AQ16" s="12">
        <f t="shared" si="1"/>
        <v>0.12040283591230012</v>
      </c>
    </row>
    <row r="17" spans="1:43" x14ac:dyDescent="0.3">
      <c r="A17" t="s">
        <v>683</v>
      </c>
      <c r="B17">
        <v>92.74421117</v>
      </c>
      <c r="C17">
        <v>56.13</v>
      </c>
      <c r="D17">
        <v>36.61</v>
      </c>
      <c r="E17">
        <v>0</v>
      </c>
      <c r="F17">
        <v>2.83</v>
      </c>
      <c r="G17" s="1">
        <v>63.492378102066596</v>
      </c>
      <c r="H17" s="1">
        <v>53.930373685428322</v>
      </c>
      <c r="I17" s="1">
        <v>9.5620044166382758</v>
      </c>
      <c r="J17" s="1">
        <v>0</v>
      </c>
      <c r="K17" s="1">
        <v>3600.0540000000001</v>
      </c>
      <c r="N17" s="33"/>
      <c r="O17" s="11" t="s">
        <v>64</v>
      </c>
      <c r="P17" s="13">
        <v>92.74421117</v>
      </c>
      <c r="Q17" s="13">
        <v>56.13</v>
      </c>
      <c r="R17" s="13">
        <v>36.61</v>
      </c>
      <c r="T17" s="13">
        <v>63.492378102066596</v>
      </c>
      <c r="U17" s="13">
        <v>53.930373685428322</v>
      </c>
      <c r="V17" s="13">
        <v>9.5620044166382758</v>
      </c>
      <c r="X17" s="12">
        <f t="shared" si="2"/>
        <v>0.3154033302878046</v>
      </c>
      <c r="Y17" s="12">
        <f t="shared" si="3"/>
        <v>3.9188069028535201E-2</v>
      </c>
      <c r="Z17" s="12">
        <f t="shared" si="4"/>
        <v>0.73881441090854205</v>
      </c>
      <c r="AA17" s="12"/>
      <c r="AB17" s="12"/>
      <c r="AC17" s="33"/>
      <c r="AD17" s="11" t="s">
        <v>64</v>
      </c>
      <c r="AE17" s="13">
        <v>92.74421117</v>
      </c>
      <c r="AF17" s="14">
        <v>2.83</v>
      </c>
      <c r="AG17" s="13">
        <v>63.492378102066596</v>
      </c>
      <c r="AH17" s="14">
        <v>3600.0540000000001</v>
      </c>
      <c r="AI17" s="12">
        <f t="shared" si="5"/>
        <v>0.3154033302878046</v>
      </c>
      <c r="AK17" s="33"/>
      <c r="AL17" s="11" t="s">
        <v>79</v>
      </c>
      <c r="AM17" s="13">
        <v>1298.8821658300001</v>
      </c>
      <c r="AN17" s="14">
        <v>369.49</v>
      </c>
      <c r="AO17" s="13">
        <v>1192.9265569658357</v>
      </c>
      <c r="AP17" s="14">
        <v>3602.0509999999999</v>
      </c>
      <c r="AQ17" s="12">
        <f t="shared" si="1"/>
        <v>8.1574458139131917E-2</v>
      </c>
    </row>
    <row r="18" spans="1:43" x14ac:dyDescent="0.3">
      <c r="A18" t="s">
        <v>687</v>
      </c>
      <c r="B18">
        <v>143.50523222999999</v>
      </c>
      <c r="C18">
        <v>78.099999999999994</v>
      </c>
      <c r="D18">
        <v>65.41</v>
      </c>
      <c r="E18">
        <v>0</v>
      </c>
      <c r="F18">
        <v>3.04</v>
      </c>
      <c r="G18" s="1">
        <v>96.057852332269405</v>
      </c>
      <c r="H18" s="1">
        <v>76.771126364420738</v>
      </c>
      <c r="I18" s="1">
        <v>19.286725967848664</v>
      </c>
      <c r="J18" s="1">
        <v>0</v>
      </c>
      <c r="K18" s="1">
        <v>3600.7579999999998</v>
      </c>
      <c r="N18" s="33" t="s">
        <v>592</v>
      </c>
      <c r="O18" s="11" t="s">
        <v>65</v>
      </c>
      <c r="P18" s="13">
        <v>143.50523222999999</v>
      </c>
      <c r="Q18" s="13">
        <v>78.099999999999994</v>
      </c>
      <c r="R18" s="13">
        <v>65.41</v>
      </c>
      <c r="T18" s="13">
        <v>96.057852332269405</v>
      </c>
      <c r="U18" s="13">
        <v>76.771126364420738</v>
      </c>
      <c r="V18" s="13">
        <v>19.286725967848664</v>
      </c>
      <c r="X18" s="12">
        <f t="shared" si="2"/>
        <v>0.33063170701459371</v>
      </c>
      <c r="Y18" s="12">
        <f t="shared" si="3"/>
        <v>1.7015027344164619E-2</v>
      </c>
      <c r="Z18" s="12">
        <f t="shared" si="4"/>
        <v>0.70514101868447232</v>
      </c>
      <c r="AA18" s="12"/>
      <c r="AB18" s="12"/>
      <c r="AC18" s="33" t="s">
        <v>592</v>
      </c>
      <c r="AD18" s="11" t="s">
        <v>65</v>
      </c>
      <c r="AE18" s="13">
        <v>143.50523222999999</v>
      </c>
      <c r="AF18" s="14">
        <v>3.04</v>
      </c>
      <c r="AG18" s="13">
        <v>96.057852332269405</v>
      </c>
      <c r="AH18" s="14">
        <v>3600.7579999999998</v>
      </c>
      <c r="AI18" s="12">
        <f t="shared" si="5"/>
        <v>0.33063170701459371</v>
      </c>
      <c r="AK18" s="33" t="s">
        <v>595</v>
      </c>
      <c r="AL18" s="11" t="s">
        <v>80</v>
      </c>
      <c r="AM18" s="13">
        <v>1877.11863879</v>
      </c>
      <c r="AN18" s="14">
        <v>1071.42</v>
      </c>
      <c r="AO18" s="13">
        <v>1811.8662396472282</v>
      </c>
      <c r="AP18" s="14">
        <v>3602.6869999999999</v>
      </c>
      <c r="AQ18" s="12">
        <f t="shared" si="1"/>
        <v>3.4762000544000665E-2</v>
      </c>
    </row>
    <row r="19" spans="1:43" x14ac:dyDescent="0.3">
      <c r="A19" t="s">
        <v>691</v>
      </c>
      <c r="B19">
        <v>136.68911327999999</v>
      </c>
      <c r="C19">
        <v>82.6</v>
      </c>
      <c r="D19">
        <v>54.09</v>
      </c>
      <c r="E19">
        <v>0</v>
      </c>
      <c r="F19">
        <v>2.23</v>
      </c>
      <c r="G19" s="1">
        <v>103.75426744136814</v>
      </c>
      <c r="H19" s="1">
        <v>78.816088459483382</v>
      </c>
      <c r="I19" s="1">
        <v>24.938178981884768</v>
      </c>
      <c r="J19" s="1">
        <v>0</v>
      </c>
      <c r="K19" s="1">
        <v>3601.009</v>
      </c>
      <c r="N19" s="33"/>
      <c r="O19" s="11" t="s">
        <v>66</v>
      </c>
      <c r="P19" s="13">
        <v>136.68911327999999</v>
      </c>
      <c r="Q19" s="13">
        <v>82.6</v>
      </c>
      <c r="R19" s="13">
        <v>54.09</v>
      </c>
      <c r="T19" s="13">
        <v>103.75426744136814</v>
      </c>
      <c r="U19" s="13">
        <v>78.816088459483382</v>
      </c>
      <c r="V19" s="13">
        <v>24.938178981884768</v>
      </c>
      <c r="X19" s="12">
        <f t="shared" si="2"/>
        <v>0.24094710286960935</v>
      </c>
      <c r="Y19" s="12">
        <f t="shared" si="3"/>
        <v>4.5810067076472311E-2</v>
      </c>
      <c r="Z19" s="12">
        <f t="shared" si="4"/>
        <v>0.5389502868943471</v>
      </c>
      <c r="AA19" s="12"/>
      <c r="AB19" s="12"/>
      <c r="AC19" s="33"/>
      <c r="AD19" s="11" t="s">
        <v>66</v>
      </c>
      <c r="AE19" s="13">
        <v>136.68911327999999</v>
      </c>
      <c r="AF19" s="14">
        <v>2.23</v>
      </c>
      <c r="AG19" s="13">
        <v>103.75426744136814</v>
      </c>
      <c r="AH19" s="14">
        <v>3601.009</v>
      </c>
      <c r="AI19" s="12">
        <f t="shared" si="5"/>
        <v>0.24094710286960935</v>
      </c>
      <c r="AK19" s="33"/>
      <c r="AL19" s="11" t="s">
        <v>81</v>
      </c>
      <c r="AM19" s="13">
        <v>1767.60533108</v>
      </c>
      <c r="AN19" s="14">
        <v>577.16</v>
      </c>
      <c r="AO19" s="13">
        <v>1699.0113713965643</v>
      </c>
      <c r="AP19" s="14">
        <v>3601.9459999999999</v>
      </c>
      <c r="AQ19" s="12">
        <f t="shared" si="1"/>
        <v>3.8806151168103285E-2</v>
      </c>
    </row>
    <row r="20" spans="1:43" x14ac:dyDescent="0.3">
      <c r="A20" t="s">
        <v>695</v>
      </c>
      <c r="B20">
        <v>143.75224972999999</v>
      </c>
      <c r="C20">
        <v>75.62</v>
      </c>
      <c r="D20">
        <v>68.13</v>
      </c>
      <c r="E20">
        <v>0</v>
      </c>
      <c r="F20">
        <v>10.99</v>
      </c>
      <c r="G20" s="1">
        <v>96.89826578643283</v>
      </c>
      <c r="H20" s="1">
        <v>73.562422332724481</v>
      </c>
      <c r="I20" s="1">
        <v>23.33584345370835</v>
      </c>
      <c r="J20" s="1">
        <v>0</v>
      </c>
      <c r="K20" s="1">
        <v>3600.3589999999999</v>
      </c>
      <c r="N20" s="33"/>
      <c r="O20" s="11" t="s">
        <v>67</v>
      </c>
      <c r="P20" s="13">
        <v>143.75224972999999</v>
      </c>
      <c r="Q20" s="13">
        <v>75.62</v>
      </c>
      <c r="R20" s="13">
        <v>68.13</v>
      </c>
      <c r="T20" s="13">
        <v>96.89826578643283</v>
      </c>
      <c r="U20" s="13">
        <v>73.562422332724481</v>
      </c>
      <c r="V20" s="13">
        <v>23.33584345370835</v>
      </c>
      <c r="X20" s="12">
        <f t="shared" si="2"/>
        <v>0.32593565687889958</v>
      </c>
      <c r="Y20" s="12">
        <f t="shared" si="3"/>
        <v>2.7209437546621577E-2</v>
      </c>
      <c r="Z20" s="12">
        <f t="shared" si="4"/>
        <v>0.65748064797140249</v>
      </c>
      <c r="AA20" s="12"/>
      <c r="AB20" s="12"/>
      <c r="AC20" s="33"/>
      <c r="AD20" s="11" t="s">
        <v>67</v>
      </c>
      <c r="AE20" s="13">
        <v>143.75224972999999</v>
      </c>
      <c r="AF20" s="14">
        <v>10.99</v>
      </c>
      <c r="AG20" s="13">
        <v>96.89826578643283</v>
      </c>
      <c r="AH20" s="14">
        <v>3600.3589999999999</v>
      </c>
      <c r="AI20" s="12">
        <f t="shared" si="5"/>
        <v>0.32593565687889958</v>
      </c>
      <c r="AK20" s="33"/>
      <c r="AL20" s="11" t="s">
        <v>82</v>
      </c>
      <c r="AM20" s="13">
        <v>1769.4187633500001</v>
      </c>
      <c r="AN20" s="14">
        <v>519.77</v>
      </c>
      <c r="AO20" s="13">
        <v>1697.601469307665</v>
      </c>
      <c r="AP20" s="14">
        <v>3602.098</v>
      </c>
      <c r="AQ20" s="12">
        <f t="shared" si="1"/>
        <v>4.0588070800359928E-2</v>
      </c>
    </row>
    <row r="21" spans="1:43" x14ac:dyDescent="0.3">
      <c r="A21" t="s">
        <v>699</v>
      </c>
      <c r="B21">
        <v>159.07776181</v>
      </c>
      <c r="C21">
        <v>83.01</v>
      </c>
      <c r="D21">
        <v>76.069999999999993</v>
      </c>
      <c r="E21">
        <v>0</v>
      </c>
      <c r="F21">
        <v>2.5299999999999998</v>
      </c>
      <c r="G21" s="1">
        <v>99.010361511311643</v>
      </c>
      <c r="H21" s="1">
        <v>79.8103226161154</v>
      </c>
      <c r="I21" s="1">
        <v>19.200038895196247</v>
      </c>
      <c r="J21" s="1">
        <v>0</v>
      </c>
      <c r="K21" s="1">
        <v>3600.2260000000001</v>
      </c>
      <c r="N21" s="33"/>
      <c r="O21" s="11" t="s">
        <v>68</v>
      </c>
      <c r="P21" s="13">
        <v>159.07776181</v>
      </c>
      <c r="Q21" s="13">
        <v>83.01</v>
      </c>
      <c r="R21" s="13">
        <v>76.069999999999993</v>
      </c>
      <c r="T21" s="13">
        <v>99.010361511311643</v>
      </c>
      <c r="U21" s="13">
        <v>79.8103226161154</v>
      </c>
      <c r="V21" s="13">
        <v>19.200038895196247</v>
      </c>
      <c r="X21" s="12">
        <f t="shared" si="2"/>
        <v>0.37759772085825499</v>
      </c>
      <c r="Y21" s="12">
        <f t="shared" si="3"/>
        <v>3.8545685867782259E-2</v>
      </c>
      <c r="Z21" s="12">
        <f t="shared" si="4"/>
        <v>0.74760038260554429</v>
      </c>
      <c r="AA21" s="12"/>
      <c r="AB21" s="12"/>
      <c r="AC21" s="33"/>
      <c r="AD21" s="11" t="s">
        <v>68</v>
      </c>
      <c r="AE21" s="13">
        <v>159.07776181</v>
      </c>
      <c r="AF21" s="14">
        <v>2.5299999999999998</v>
      </c>
      <c r="AG21" s="13">
        <v>99.010361511311643</v>
      </c>
      <c r="AH21" s="14">
        <v>3600.2260000000001</v>
      </c>
      <c r="AI21" s="12">
        <f t="shared" si="5"/>
        <v>0.37759772085825499</v>
      </c>
      <c r="AK21" s="33"/>
      <c r="AL21" s="11" t="s">
        <v>83</v>
      </c>
      <c r="AM21" s="13">
        <v>1810.7983752</v>
      </c>
      <c r="AN21" s="14">
        <v>246.63</v>
      </c>
      <c r="AO21" s="13">
        <v>1617.1771751392848</v>
      </c>
      <c r="AP21" s="14">
        <v>3602.1840000000002</v>
      </c>
      <c r="AQ21" s="12">
        <f t="shared" si="1"/>
        <v>0.10692587463766086</v>
      </c>
    </row>
    <row r="22" spans="1:43" x14ac:dyDescent="0.3">
      <c r="A22" t="s">
        <v>703</v>
      </c>
      <c r="B22">
        <v>155.03973479999999</v>
      </c>
      <c r="C22">
        <v>84.62</v>
      </c>
      <c r="D22">
        <v>70.42</v>
      </c>
      <c r="E22">
        <v>0</v>
      </c>
      <c r="F22">
        <v>2.16</v>
      </c>
      <c r="G22" s="1">
        <v>107.9504301020327</v>
      </c>
      <c r="H22" s="1">
        <v>81.530307769819515</v>
      </c>
      <c r="I22" s="1">
        <v>26.420122332213175</v>
      </c>
      <c r="J22" s="1">
        <v>0</v>
      </c>
      <c r="K22" s="1">
        <v>3600.366</v>
      </c>
      <c r="N22" s="33"/>
      <c r="O22" s="11" t="s">
        <v>69</v>
      </c>
      <c r="P22" s="13">
        <v>155.03973479999999</v>
      </c>
      <c r="Q22" s="13">
        <v>84.62</v>
      </c>
      <c r="R22" s="13">
        <v>70.42</v>
      </c>
      <c r="T22" s="13">
        <v>107.9504301020327</v>
      </c>
      <c r="U22" s="13">
        <v>81.530307769819515</v>
      </c>
      <c r="V22" s="13">
        <v>26.420122332213175</v>
      </c>
      <c r="X22" s="12">
        <f t="shared" si="2"/>
        <v>0.30372410504127939</v>
      </c>
      <c r="Y22" s="12">
        <f t="shared" si="3"/>
        <v>3.6512552944699704E-2</v>
      </c>
      <c r="Z22" s="12">
        <f t="shared" si="4"/>
        <v>0.62482075642980439</v>
      </c>
      <c r="AA22" s="12"/>
      <c r="AB22" s="12"/>
      <c r="AC22" s="33"/>
      <c r="AD22" s="11" t="s">
        <v>69</v>
      </c>
      <c r="AE22" s="13">
        <v>155.03973479999999</v>
      </c>
      <c r="AF22" s="14">
        <v>2.16</v>
      </c>
      <c r="AG22" s="13">
        <v>107.9504301020327</v>
      </c>
      <c r="AH22" s="14">
        <v>3600.366</v>
      </c>
      <c r="AI22" s="12">
        <f t="shared" si="5"/>
        <v>0.30372410504127939</v>
      </c>
      <c r="AK22" s="33"/>
      <c r="AL22" s="11" t="s">
        <v>84</v>
      </c>
      <c r="AM22" s="13">
        <v>1916.54900888</v>
      </c>
      <c r="AN22" s="14">
        <v>640.04</v>
      </c>
      <c r="AO22" s="13">
        <v>1837.4136781124437</v>
      </c>
      <c r="AP22" s="14">
        <v>3602.0349999999999</v>
      </c>
      <c r="AQ22" s="12">
        <f t="shared" si="1"/>
        <v>4.1290533349732442E-2</v>
      </c>
    </row>
    <row r="23" spans="1:43" x14ac:dyDescent="0.3">
      <c r="A23" t="s">
        <v>727</v>
      </c>
      <c r="B23">
        <v>168.03982887999999</v>
      </c>
      <c r="C23">
        <v>104.2</v>
      </c>
      <c r="D23">
        <v>63.84</v>
      </c>
      <c r="E23">
        <v>0</v>
      </c>
      <c r="F23">
        <v>6.3</v>
      </c>
      <c r="G23" s="1">
        <v>112.44468498811091</v>
      </c>
      <c r="H23" s="1">
        <v>100.28450863895239</v>
      </c>
      <c r="I23" s="1">
        <v>12.160176349158526</v>
      </c>
      <c r="J23" s="1">
        <v>0</v>
      </c>
      <c r="K23" s="1">
        <v>3600.922</v>
      </c>
      <c r="N23" s="33" t="s">
        <v>596</v>
      </c>
      <c r="O23" s="11" t="s">
        <v>70</v>
      </c>
      <c r="P23" s="13">
        <v>168.03982887999999</v>
      </c>
      <c r="Q23" s="13">
        <v>104.2</v>
      </c>
      <c r="R23" s="13">
        <v>63.84</v>
      </c>
      <c r="T23" s="13">
        <v>112.44468498811091</v>
      </c>
      <c r="U23" s="13">
        <v>100.28450863895239</v>
      </c>
      <c r="V23" s="13">
        <v>12.160176349158526</v>
      </c>
      <c r="X23" s="12">
        <f t="shared" si="2"/>
        <v>0.3308450399077143</v>
      </c>
      <c r="Y23" s="12">
        <f t="shared" si="3"/>
        <v>3.7576692524449271E-2</v>
      </c>
      <c r="Z23" s="12">
        <f t="shared" si="4"/>
        <v>0.80952104716230378</v>
      </c>
      <c r="AA23" s="12"/>
      <c r="AB23" s="12"/>
      <c r="AC23" s="33" t="s">
        <v>596</v>
      </c>
      <c r="AD23" s="11" t="s">
        <v>70</v>
      </c>
      <c r="AE23" s="13">
        <v>168.03982887999999</v>
      </c>
      <c r="AF23" s="14">
        <v>6.3</v>
      </c>
      <c r="AG23" s="13">
        <v>112.44468498811091</v>
      </c>
      <c r="AH23" s="14">
        <v>3600.922</v>
      </c>
      <c r="AI23" s="12">
        <f t="shared" si="5"/>
        <v>0.3308450399077143</v>
      </c>
      <c r="AK23" s="33" t="s">
        <v>597</v>
      </c>
      <c r="AL23" s="11" t="s">
        <v>85</v>
      </c>
      <c r="AM23" s="13">
        <v>2628.27781671</v>
      </c>
      <c r="AN23" s="14">
        <v>483.11</v>
      </c>
      <c r="AO23" s="13">
        <v>2530.4166491521605</v>
      </c>
      <c r="AP23" s="14">
        <v>3601.7660000000001</v>
      </c>
      <c r="AQ23" s="12">
        <f t="shared" si="1"/>
        <v>3.7233951044162904E-2</v>
      </c>
    </row>
    <row r="24" spans="1:43" x14ac:dyDescent="0.3">
      <c r="A24" t="s">
        <v>731</v>
      </c>
      <c r="B24">
        <v>197.35531183000001</v>
      </c>
      <c r="C24">
        <v>104.86</v>
      </c>
      <c r="D24">
        <v>92.49</v>
      </c>
      <c r="E24">
        <v>0</v>
      </c>
      <c r="F24">
        <v>8.2899999999999991</v>
      </c>
      <c r="G24" s="1">
        <v>136.135364351471</v>
      </c>
      <c r="H24" s="1">
        <v>101.89227368480655</v>
      </c>
      <c r="I24" s="1">
        <v>34.243090666664436</v>
      </c>
      <c r="J24" s="1">
        <v>0</v>
      </c>
      <c r="K24" s="1">
        <v>3600.1</v>
      </c>
      <c r="N24" s="33"/>
      <c r="O24" s="11" t="s">
        <v>71</v>
      </c>
      <c r="P24" s="13">
        <v>197.35531183000001</v>
      </c>
      <c r="Q24" s="13">
        <v>104.86</v>
      </c>
      <c r="R24" s="13">
        <v>92.49</v>
      </c>
      <c r="T24" s="13">
        <v>136.135364351471</v>
      </c>
      <c r="U24" s="13">
        <v>101.89227368480655</v>
      </c>
      <c r="V24" s="13">
        <v>34.243090666664436</v>
      </c>
      <c r="X24" s="12">
        <f t="shared" si="2"/>
        <v>0.31020167083854977</v>
      </c>
      <c r="Y24" s="12">
        <f t="shared" si="3"/>
        <v>2.8301795872529519E-2</v>
      </c>
      <c r="Z24" s="12">
        <f t="shared" si="4"/>
        <v>0.62976439975495258</v>
      </c>
      <c r="AA24" s="12"/>
      <c r="AB24" s="12"/>
      <c r="AC24" s="33"/>
      <c r="AD24" s="11" t="s">
        <v>71</v>
      </c>
      <c r="AE24" s="13">
        <v>197.35531183000001</v>
      </c>
      <c r="AF24" s="14">
        <v>8.2899999999999991</v>
      </c>
      <c r="AG24" s="13">
        <v>136.135364351471</v>
      </c>
      <c r="AH24" s="14">
        <v>3600.1</v>
      </c>
      <c r="AI24" s="12">
        <f t="shared" si="5"/>
        <v>0.31020167083854977</v>
      </c>
      <c r="AK24" s="33"/>
      <c r="AL24" s="11" t="s">
        <v>86</v>
      </c>
      <c r="AM24" s="13">
        <v>2489.2333634299998</v>
      </c>
      <c r="AN24" s="14">
        <v>405.34</v>
      </c>
      <c r="AO24" s="13">
        <v>2444.015455984334</v>
      </c>
      <c r="AP24" s="14">
        <v>3602.328</v>
      </c>
      <c r="AQ24" s="12">
        <f t="shared" si="1"/>
        <v>1.8165395060975115E-2</v>
      </c>
    </row>
    <row r="25" spans="1:43" x14ac:dyDescent="0.3">
      <c r="A25" t="s">
        <v>735</v>
      </c>
      <c r="B25">
        <v>156.32958883000001</v>
      </c>
      <c r="C25">
        <v>107.68</v>
      </c>
      <c r="D25">
        <v>48.65</v>
      </c>
      <c r="E25">
        <v>0</v>
      </c>
      <c r="F25">
        <v>4.4000000000000004</v>
      </c>
      <c r="G25" s="1">
        <v>112.49228066462901</v>
      </c>
      <c r="H25" s="1">
        <v>102.01021510909347</v>
      </c>
      <c r="I25" s="1">
        <v>10.482065555535547</v>
      </c>
      <c r="J25" s="1">
        <v>0</v>
      </c>
      <c r="K25" s="1">
        <v>3600.2069999999999</v>
      </c>
      <c r="N25" s="33"/>
      <c r="O25" s="11" t="s">
        <v>72</v>
      </c>
      <c r="P25" s="13">
        <v>156.32958883000001</v>
      </c>
      <c r="Q25" s="13">
        <v>107.68</v>
      </c>
      <c r="R25" s="13">
        <v>48.65</v>
      </c>
      <c r="T25" s="13">
        <v>112.49228066462901</v>
      </c>
      <c r="U25" s="13">
        <v>102.01021510909347</v>
      </c>
      <c r="V25" s="13">
        <v>10.482065555535547</v>
      </c>
      <c r="X25" s="12">
        <f t="shared" si="2"/>
        <v>0.28041593720969682</v>
      </c>
      <c r="Y25" s="12">
        <f t="shared" si="3"/>
        <v>5.2654020160721966E-2</v>
      </c>
      <c r="Z25" s="12">
        <f t="shared" si="4"/>
        <v>0.78454130409998868</v>
      </c>
      <c r="AA25" s="12"/>
      <c r="AB25" s="12"/>
      <c r="AC25" s="33"/>
      <c r="AD25" s="11" t="s">
        <v>72</v>
      </c>
      <c r="AE25" s="13">
        <v>156.32958883000001</v>
      </c>
      <c r="AF25" s="14">
        <v>4.4000000000000004</v>
      </c>
      <c r="AG25" s="13">
        <v>112.49228066462901</v>
      </c>
      <c r="AH25" s="14">
        <v>3600.2069999999999</v>
      </c>
      <c r="AI25" s="12">
        <f t="shared" si="5"/>
        <v>0.28041593720969682</v>
      </c>
      <c r="AK25" s="33"/>
      <c r="AL25" s="11" t="s">
        <v>87</v>
      </c>
      <c r="AM25" s="13">
        <v>2431.4721356700002</v>
      </c>
      <c r="AN25" s="14">
        <v>454.23</v>
      </c>
      <c r="AO25" s="13">
        <v>2322.5820588080342</v>
      </c>
      <c r="AP25" s="14">
        <v>3669.4569999999999</v>
      </c>
      <c r="AQ25" s="12">
        <f t="shared" si="1"/>
        <v>4.4783600545749619E-2</v>
      </c>
    </row>
    <row r="26" spans="1:43" x14ac:dyDescent="0.3">
      <c r="A26" t="s">
        <v>739</v>
      </c>
      <c r="B26">
        <v>180.29233119</v>
      </c>
      <c r="C26">
        <v>103.65</v>
      </c>
      <c r="D26">
        <v>76.650000000000006</v>
      </c>
      <c r="E26">
        <v>0</v>
      </c>
      <c r="F26">
        <v>4.71</v>
      </c>
      <c r="G26" s="1">
        <v>128.2387680792381</v>
      </c>
      <c r="H26" s="1">
        <v>98.453048122819695</v>
      </c>
      <c r="I26" s="1">
        <v>29.785719956418404</v>
      </c>
      <c r="J26" s="1">
        <v>0</v>
      </c>
      <c r="K26" s="1">
        <v>3600.8919999999998</v>
      </c>
      <c r="N26" s="33"/>
      <c r="O26" s="11" t="s">
        <v>73</v>
      </c>
      <c r="P26" s="13">
        <v>180.29233119</v>
      </c>
      <c r="Q26" s="13">
        <v>103.65</v>
      </c>
      <c r="R26" s="13">
        <v>76.650000000000006</v>
      </c>
      <c r="T26" s="13">
        <v>128.2387680792381</v>
      </c>
      <c r="U26" s="13">
        <v>98.453048122819695</v>
      </c>
      <c r="V26" s="13">
        <v>29.785719956418404</v>
      </c>
      <c r="X26" s="12">
        <f t="shared" si="2"/>
        <v>0.28871756644993157</v>
      </c>
      <c r="Y26" s="12">
        <f t="shared" si="3"/>
        <v>5.0139429591705843E-2</v>
      </c>
      <c r="Z26" s="12">
        <f t="shared" si="4"/>
        <v>0.61140613233635488</v>
      </c>
      <c r="AA26" s="12"/>
      <c r="AB26" s="12"/>
      <c r="AC26" s="33"/>
      <c r="AD26" s="11" t="s">
        <v>73</v>
      </c>
      <c r="AE26" s="13">
        <v>180.29233119</v>
      </c>
      <c r="AF26" s="14">
        <v>4.71</v>
      </c>
      <c r="AG26" s="13">
        <v>128.2387680792381</v>
      </c>
      <c r="AH26" s="14">
        <v>3600.8919999999998</v>
      </c>
      <c r="AI26" s="12">
        <f t="shared" si="5"/>
        <v>0.28871756644993157</v>
      </c>
      <c r="AK26" s="33"/>
      <c r="AL26" s="11" t="s">
        <v>88</v>
      </c>
      <c r="AM26" s="13">
        <v>2621.9457205600002</v>
      </c>
      <c r="AN26" s="14">
        <v>334.74</v>
      </c>
      <c r="AO26" s="13">
        <v>2497.0165783656589</v>
      </c>
      <c r="AP26" s="14">
        <v>3602.1419999999998</v>
      </c>
      <c r="AQ26" s="12">
        <f t="shared" si="1"/>
        <v>4.7647493697031466E-2</v>
      </c>
    </row>
    <row r="27" spans="1:43" x14ac:dyDescent="0.3">
      <c r="A27" t="s">
        <v>743</v>
      </c>
      <c r="B27">
        <v>231.07773642000001</v>
      </c>
      <c r="C27">
        <v>126.86</v>
      </c>
      <c r="D27">
        <v>104.21</v>
      </c>
      <c r="E27">
        <v>0</v>
      </c>
      <c r="F27">
        <v>22.02</v>
      </c>
      <c r="G27" s="1">
        <v>164.89065281409654</v>
      </c>
      <c r="H27" s="1">
        <v>119.74416709403499</v>
      </c>
      <c r="I27" s="1">
        <v>45.146485720061563</v>
      </c>
      <c r="J27" s="1">
        <v>0</v>
      </c>
      <c r="K27" s="1">
        <v>3600.3919999999998</v>
      </c>
      <c r="N27" s="33"/>
      <c r="O27" s="11" t="s">
        <v>74</v>
      </c>
      <c r="P27" s="13">
        <v>231.07773642000001</v>
      </c>
      <c r="Q27" s="13">
        <v>126.86</v>
      </c>
      <c r="R27" s="13">
        <v>104.21</v>
      </c>
      <c r="T27" s="13">
        <v>164.89065281409654</v>
      </c>
      <c r="U27" s="13">
        <v>119.74416709403499</v>
      </c>
      <c r="V27" s="13">
        <v>45.146485720061563</v>
      </c>
      <c r="X27" s="12">
        <f t="shared" si="2"/>
        <v>0.28642778240480854</v>
      </c>
      <c r="Y27" s="12">
        <f t="shared" si="3"/>
        <v>5.6092014078235906E-2</v>
      </c>
      <c r="Z27" s="12">
        <f t="shared" si="4"/>
        <v>0.56677395912041484</v>
      </c>
      <c r="AA27" s="12"/>
      <c r="AB27" s="12"/>
      <c r="AC27" s="33"/>
      <c r="AD27" s="11" t="s">
        <v>74</v>
      </c>
      <c r="AE27" s="13">
        <v>231.07773642000001</v>
      </c>
      <c r="AF27" s="14">
        <v>22.02</v>
      </c>
      <c r="AG27" s="13">
        <v>164.89065281409654</v>
      </c>
      <c r="AH27" s="14">
        <v>3600.3919999999998</v>
      </c>
      <c r="AI27" s="12">
        <f t="shared" si="5"/>
        <v>0.28642778240480854</v>
      </c>
      <c r="AK27" s="33"/>
      <c r="AL27" s="11" t="s">
        <v>89</v>
      </c>
      <c r="AM27" s="13">
        <v>2537.2195221400002</v>
      </c>
      <c r="AN27" s="14">
        <v>341.13</v>
      </c>
      <c r="AO27" s="13">
        <v>2337.4109040825592</v>
      </c>
      <c r="AP27" s="14">
        <v>3602.127</v>
      </c>
      <c r="AQ27" s="12">
        <f t="shared" si="1"/>
        <v>7.8751017132689324E-2</v>
      </c>
    </row>
    <row r="28" spans="1:43" x14ac:dyDescent="0.3">
      <c r="A28" t="s">
        <v>647</v>
      </c>
      <c r="B28">
        <v>323.61072381999998</v>
      </c>
      <c r="C28">
        <v>132.43</v>
      </c>
      <c r="D28">
        <v>191.18</v>
      </c>
      <c r="E28">
        <v>0</v>
      </c>
      <c r="F28">
        <v>5.85</v>
      </c>
      <c r="G28" s="1">
        <v>225.10988662137976</v>
      </c>
      <c r="H28" s="1">
        <v>131.37119990311419</v>
      </c>
      <c r="I28" s="1">
        <v>93.738686718265569</v>
      </c>
      <c r="J28" s="1">
        <v>0</v>
      </c>
      <c r="K28" s="1">
        <v>3602.3449999999998</v>
      </c>
      <c r="N28" s="33" t="s">
        <v>599</v>
      </c>
      <c r="O28" s="11" t="s">
        <v>55</v>
      </c>
      <c r="P28" s="13">
        <v>323.61072381999998</v>
      </c>
      <c r="Q28" s="13">
        <v>132.43</v>
      </c>
      <c r="R28" s="13">
        <v>191.18</v>
      </c>
      <c r="T28" s="13">
        <v>225.10988662137976</v>
      </c>
      <c r="U28" s="13">
        <v>131.37119990311419</v>
      </c>
      <c r="V28" s="13">
        <v>93.738686718265569</v>
      </c>
      <c r="X28" s="12">
        <f t="shared" si="2"/>
        <v>0.30438063373143576</v>
      </c>
      <c r="Y28" s="12">
        <f t="shared" si="3"/>
        <v>7.9951679897743572E-3</v>
      </c>
      <c r="Z28" s="12">
        <f t="shared" si="4"/>
        <v>0.50968361377620275</v>
      </c>
      <c r="AA28" s="12"/>
      <c r="AB28" s="12"/>
    </row>
    <row r="29" spans="1:43" x14ac:dyDescent="0.3">
      <c r="A29" t="s">
        <v>651</v>
      </c>
      <c r="B29">
        <v>338.56669997</v>
      </c>
      <c r="C29">
        <v>151.04</v>
      </c>
      <c r="D29">
        <v>187.53</v>
      </c>
      <c r="E29">
        <v>0</v>
      </c>
      <c r="F29">
        <v>4.5</v>
      </c>
      <c r="G29" s="1">
        <v>238.98936419206723</v>
      </c>
      <c r="H29" s="1">
        <v>150.36788874435553</v>
      </c>
      <c r="I29" s="1">
        <v>88.621475447711688</v>
      </c>
      <c r="J29" s="1">
        <v>0</v>
      </c>
      <c r="K29" s="1">
        <v>3601.4760000000001</v>
      </c>
      <c r="N29" s="33"/>
      <c r="O29" s="11" t="s">
        <v>56</v>
      </c>
      <c r="P29" s="13">
        <v>338.56669997</v>
      </c>
      <c r="Q29" s="13">
        <v>151.04</v>
      </c>
      <c r="R29" s="13">
        <v>187.53</v>
      </c>
      <c r="T29" s="13">
        <v>238.98936419206723</v>
      </c>
      <c r="U29" s="13">
        <v>150.36788874435553</v>
      </c>
      <c r="V29" s="13">
        <v>88.621475447711688</v>
      </c>
      <c r="X29" s="12">
        <f t="shared" si="2"/>
        <v>0.29411438214908969</v>
      </c>
      <c r="Y29" s="12">
        <f t="shared" si="3"/>
        <v>4.4498891395952506E-3</v>
      </c>
      <c r="Z29" s="12">
        <f t="shared" si="4"/>
        <v>0.52742774250673663</v>
      </c>
      <c r="AA29" s="12"/>
      <c r="AB29" s="12"/>
    </row>
    <row r="30" spans="1:43" x14ac:dyDescent="0.3">
      <c r="A30" t="s">
        <v>655</v>
      </c>
      <c r="B30">
        <v>165.01941228999999</v>
      </c>
      <c r="C30">
        <v>105.64</v>
      </c>
      <c r="D30">
        <v>59.38</v>
      </c>
      <c r="E30">
        <v>0</v>
      </c>
      <c r="F30">
        <v>7.1</v>
      </c>
      <c r="G30" s="1">
        <v>123.24506749593867</v>
      </c>
      <c r="H30" s="1">
        <v>105.57137363153223</v>
      </c>
      <c r="I30" s="1">
        <v>17.673693864406445</v>
      </c>
      <c r="J30" s="1">
        <v>0</v>
      </c>
      <c r="K30" s="1">
        <v>3600.4070000000002</v>
      </c>
      <c r="N30" s="33"/>
      <c r="O30" s="11" t="s">
        <v>57</v>
      </c>
      <c r="P30" s="13">
        <v>165.01941228999999</v>
      </c>
      <c r="Q30" s="13">
        <v>105.64</v>
      </c>
      <c r="R30" s="13">
        <v>59.38</v>
      </c>
      <c r="T30" s="13">
        <v>123.24506749593867</v>
      </c>
      <c r="U30" s="13">
        <v>105.57137363153223</v>
      </c>
      <c r="V30" s="13">
        <v>17.673693864406445</v>
      </c>
      <c r="X30" s="12">
        <f t="shared" si="2"/>
        <v>0.2531480643056005</v>
      </c>
      <c r="Y30" s="12">
        <f t="shared" si="3"/>
        <v>6.4962484350412225E-4</v>
      </c>
      <c r="Z30" s="12">
        <f t="shared" si="4"/>
        <v>0.70236285172774593</v>
      </c>
      <c r="AA30" s="12"/>
      <c r="AB30" s="12"/>
    </row>
    <row r="31" spans="1:43" x14ac:dyDescent="0.3">
      <c r="A31" t="s">
        <v>659</v>
      </c>
      <c r="B31">
        <v>147.71197531999999</v>
      </c>
      <c r="C31">
        <v>108.67</v>
      </c>
      <c r="D31">
        <v>39.04</v>
      </c>
      <c r="E31">
        <v>0</v>
      </c>
      <c r="F31">
        <v>4.3600000000000003</v>
      </c>
      <c r="G31" s="1">
        <v>127.98914761587699</v>
      </c>
      <c r="H31" s="1">
        <v>107.16815862172251</v>
      </c>
      <c r="I31" s="1">
        <v>20.820988994154483</v>
      </c>
      <c r="J31" s="1">
        <v>0</v>
      </c>
      <c r="K31" s="1">
        <v>3600.2559999999999</v>
      </c>
      <c r="N31" s="33"/>
      <c r="O31" s="11" t="s">
        <v>58</v>
      </c>
      <c r="P31" s="13">
        <v>147.71197531999999</v>
      </c>
      <c r="Q31" s="13">
        <v>108.67</v>
      </c>
      <c r="R31" s="13">
        <v>39.04</v>
      </c>
      <c r="T31" s="13">
        <v>127.98914761587699</v>
      </c>
      <c r="U31" s="13">
        <v>107.16815862172251</v>
      </c>
      <c r="V31" s="13">
        <v>20.820988994154483</v>
      </c>
      <c r="X31" s="12">
        <f t="shared" si="2"/>
        <v>0.13352219859896872</v>
      </c>
      <c r="Y31" s="12">
        <f t="shared" si="3"/>
        <v>1.3820202247883408E-2</v>
      </c>
      <c r="Z31" s="12">
        <f t="shared" si="4"/>
        <v>0.46667548683005933</v>
      </c>
      <c r="AA31" s="12"/>
      <c r="AB31" s="12"/>
    </row>
    <row r="32" spans="1:43" x14ac:dyDescent="0.3">
      <c r="A32" t="s">
        <v>663</v>
      </c>
      <c r="B32">
        <v>307.55923868999997</v>
      </c>
      <c r="C32">
        <v>153.35</v>
      </c>
      <c r="D32">
        <v>154.21</v>
      </c>
      <c r="E32">
        <v>0</v>
      </c>
      <c r="F32">
        <v>6.96</v>
      </c>
      <c r="G32" s="1">
        <v>216.13564150369564</v>
      </c>
      <c r="H32" s="1">
        <v>151.98731525637368</v>
      </c>
      <c r="I32" s="1">
        <v>64.148326247321961</v>
      </c>
      <c r="J32" s="1">
        <v>0</v>
      </c>
      <c r="K32" s="1">
        <v>3600.8249999999998</v>
      </c>
      <c r="N32" s="33"/>
      <c r="O32" s="11" t="s">
        <v>59</v>
      </c>
      <c r="P32" s="13">
        <v>307.55923868999997</v>
      </c>
      <c r="Q32" s="13">
        <v>153.35</v>
      </c>
      <c r="R32" s="13">
        <v>154.21</v>
      </c>
      <c r="T32" s="13">
        <v>216.13564150369564</v>
      </c>
      <c r="U32" s="13">
        <v>151.98731525637368</v>
      </c>
      <c r="V32" s="13">
        <v>64.148326247321961</v>
      </c>
      <c r="X32" s="12">
        <f t="shared" si="2"/>
        <v>0.29725524609733306</v>
      </c>
      <c r="Y32" s="12">
        <f t="shared" si="3"/>
        <v>8.8861085335918983E-3</v>
      </c>
      <c r="Z32" s="12">
        <f t="shared" si="4"/>
        <v>0.58401967286607903</v>
      </c>
      <c r="AA32" s="12"/>
      <c r="AB32" s="12"/>
    </row>
    <row r="33" spans="1:28" x14ac:dyDescent="0.3">
      <c r="A33" t="s">
        <v>707</v>
      </c>
      <c r="B33">
        <v>669.02320264000002</v>
      </c>
      <c r="C33">
        <v>417.49</v>
      </c>
      <c r="D33">
        <v>251.54</v>
      </c>
      <c r="E33">
        <v>0</v>
      </c>
      <c r="F33">
        <v>147.91</v>
      </c>
      <c r="G33" s="1">
        <v>525.2524278292135</v>
      </c>
      <c r="H33" s="1">
        <v>414.6421025135632</v>
      </c>
      <c r="I33" s="1">
        <v>110.61032531565033</v>
      </c>
      <c r="J33" s="1">
        <v>0</v>
      </c>
      <c r="K33" s="1">
        <v>3600.2510000000002</v>
      </c>
      <c r="N33" s="33" t="s">
        <v>592</v>
      </c>
      <c r="O33" s="11" t="s">
        <v>65</v>
      </c>
      <c r="P33" s="13">
        <v>669.02320264000002</v>
      </c>
      <c r="Q33" s="13">
        <v>417.49</v>
      </c>
      <c r="R33" s="13">
        <v>251.54</v>
      </c>
      <c r="T33" s="13">
        <v>525.2524278292135</v>
      </c>
      <c r="U33" s="13">
        <v>414.6421025135632</v>
      </c>
      <c r="V33" s="13">
        <v>110.61032531565033</v>
      </c>
      <c r="X33" s="12">
        <f t="shared" si="2"/>
        <v>0.21489654505771943</v>
      </c>
      <c r="Y33" s="12">
        <f t="shared" si="3"/>
        <v>6.8214747333751871E-3</v>
      </c>
      <c r="Z33" s="12">
        <f t="shared" si="4"/>
        <v>0.56026745123777399</v>
      </c>
      <c r="AA33" s="12"/>
      <c r="AB33" s="12"/>
    </row>
    <row r="34" spans="1:28" x14ac:dyDescent="0.3">
      <c r="A34" t="s">
        <v>711</v>
      </c>
      <c r="B34">
        <v>875.64707764000002</v>
      </c>
      <c r="C34">
        <v>415.64</v>
      </c>
      <c r="D34">
        <v>460.01</v>
      </c>
      <c r="E34">
        <v>0</v>
      </c>
      <c r="F34">
        <v>21.33</v>
      </c>
      <c r="G34" s="1">
        <v>630.57472931700363</v>
      </c>
      <c r="H34" s="1">
        <v>415.83023526300724</v>
      </c>
      <c r="I34" s="1">
        <v>214.74449405399639</v>
      </c>
      <c r="J34" s="1">
        <v>0</v>
      </c>
      <c r="K34" s="1">
        <v>3600.527</v>
      </c>
      <c r="N34" s="33"/>
      <c r="O34" s="11" t="s">
        <v>66</v>
      </c>
      <c r="P34" s="13">
        <v>875.64707764000002</v>
      </c>
      <c r="Q34" s="13">
        <v>415.64</v>
      </c>
      <c r="R34" s="13">
        <v>460.01</v>
      </c>
      <c r="T34" s="13">
        <v>630.57472931700363</v>
      </c>
      <c r="U34" s="13">
        <v>415.83023526300724</v>
      </c>
      <c r="V34" s="13">
        <v>214.74449405399639</v>
      </c>
      <c r="X34" s="12">
        <f t="shared" si="2"/>
        <v>0.27987571086687468</v>
      </c>
      <c r="Y34" s="12">
        <f t="shared" si="3"/>
        <v>-4.5769238525467424E-4</v>
      </c>
      <c r="Z34" s="12">
        <f t="shared" si="4"/>
        <v>0.53317429174583941</v>
      </c>
      <c r="AA34" s="12"/>
      <c r="AB34" s="12"/>
    </row>
    <row r="35" spans="1:28" x14ac:dyDescent="0.3">
      <c r="A35" t="s">
        <v>715</v>
      </c>
      <c r="B35">
        <v>615.18325637999999</v>
      </c>
      <c r="C35">
        <v>399.18</v>
      </c>
      <c r="D35">
        <v>216</v>
      </c>
      <c r="E35">
        <v>0</v>
      </c>
      <c r="F35">
        <v>31.22</v>
      </c>
      <c r="G35" s="1">
        <v>469.27501128934068</v>
      </c>
      <c r="H35" s="1">
        <v>400.49537908950822</v>
      </c>
      <c r="I35" s="1">
        <v>68.779632199832463</v>
      </c>
      <c r="J35" s="1">
        <v>0</v>
      </c>
      <c r="K35" s="1">
        <v>3601.2370000000001</v>
      </c>
      <c r="N35" s="33"/>
      <c r="O35" s="11" t="s">
        <v>67</v>
      </c>
      <c r="P35" s="13">
        <v>615.18325637999999</v>
      </c>
      <c r="Q35" s="13">
        <v>399.18</v>
      </c>
      <c r="R35" s="13">
        <v>216</v>
      </c>
      <c r="T35" s="13">
        <v>469.27501128934068</v>
      </c>
      <c r="U35" s="13">
        <v>400.49537908950822</v>
      </c>
      <c r="V35" s="13">
        <v>68.779632199832463</v>
      </c>
      <c r="X35" s="12">
        <f t="shared" si="2"/>
        <v>0.23717850506732824</v>
      </c>
      <c r="Y35" s="12">
        <f t="shared" si="3"/>
        <v>-3.2952028896944046E-3</v>
      </c>
      <c r="Z35" s="12">
        <f t="shared" si="4"/>
        <v>0.68157577685262749</v>
      </c>
      <c r="AA35" s="12"/>
      <c r="AB35" s="12"/>
    </row>
    <row r="36" spans="1:28" x14ac:dyDescent="0.3">
      <c r="A36" t="s">
        <v>719</v>
      </c>
      <c r="B36">
        <v>872.76363796999999</v>
      </c>
      <c r="C36">
        <v>432.56</v>
      </c>
      <c r="D36">
        <v>440.2</v>
      </c>
      <c r="E36">
        <v>0</v>
      </c>
      <c r="F36">
        <v>114.67</v>
      </c>
      <c r="G36" s="1">
        <v>677.61251058916673</v>
      </c>
      <c r="H36" s="1">
        <v>430.00117910446539</v>
      </c>
      <c r="I36" s="1">
        <v>247.61133148470131</v>
      </c>
      <c r="J36" s="1">
        <v>0</v>
      </c>
      <c r="K36" s="1">
        <v>3600.9369999999999</v>
      </c>
      <c r="N36" s="33"/>
      <c r="O36" s="11" t="s">
        <v>68</v>
      </c>
      <c r="P36" s="13">
        <v>872.76363796999999</v>
      </c>
      <c r="Q36" s="13">
        <v>432.56</v>
      </c>
      <c r="R36" s="13">
        <v>440.2</v>
      </c>
      <c r="T36" s="13">
        <v>677.61251058916673</v>
      </c>
      <c r="U36" s="13">
        <v>430.00117910446539</v>
      </c>
      <c r="V36" s="13">
        <v>247.61133148470131</v>
      </c>
      <c r="X36" s="12">
        <f t="shared" si="2"/>
        <v>0.22360134965606954</v>
      </c>
      <c r="Y36" s="12">
        <f t="shared" si="3"/>
        <v>5.9155282400929557E-3</v>
      </c>
      <c r="Z36" s="12">
        <f t="shared" si="4"/>
        <v>0.43750265450999248</v>
      </c>
      <c r="AA36" s="12"/>
      <c r="AB36" s="12"/>
    </row>
    <row r="37" spans="1:28" x14ac:dyDescent="0.3">
      <c r="A37" t="s">
        <v>723</v>
      </c>
      <c r="B37">
        <v>673.31434578000005</v>
      </c>
      <c r="C37">
        <v>401.5</v>
      </c>
      <c r="D37">
        <v>271.81</v>
      </c>
      <c r="E37">
        <v>0</v>
      </c>
      <c r="F37">
        <v>63.43</v>
      </c>
      <c r="G37" s="1">
        <v>533.85078008975802</v>
      </c>
      <c r="H37" s="1">
        <v>403.20188088629351</v>
      </c>
      <c r="I37" s="1">
        <v>130.64889920346448</v>
      </c>
      <c r="J37" s="1">
        <v>0</v>
      </c>
      <c r="K37" s="1">
        <v>3606.3710000000001</v>
      </c>
      <c r="N37" s="33"/>
      <c r="O37" s="11" t="s">
        <v>69</v>
      </c>
      <c r="P37" s="13">
        <v>673.31434578000005</v>
      </c>
      <c r="Q37" s="13">
        <v>401.5</v>
      </c>
      <c r="R37" s="13">
        <v>271.81</v>
      </c>
      <c r="T37" s="13">
        <v>533.85078008975802</v>
      </c>
      <c r="U37" s="13">
        <v>403.20188088629351</v>
      </c>
      <c r="V37" s="13">
        <v>130.64889920346448</v>
      </c>
      <c r="X37" s="12">
        <f t="shared" si="2"/>
        <v>0.20712994838789697</v>
      </c>
      <c r="Y37" s="12">
        <f t="shared" si="3"/>
        <v>-4.2388066906438576E-3</v>
      </c>
      <c r="Z37" s="12">
        <f t="shared" si="4"/>
        <v>0.51933740773531334</v>
      </c>
      <c r="AA37" s="12"/>
      <c r="AB37" s="12"/>
    </row>
    <row r="38" spans="1:28" x14ac:dyDescent="0.3">
      <c r="A38" t="s">
        <v>747</v>
      </c>
      <c r="B38">
        <v>1208.5581307499999</v>
      </c>
      <c r="C38">
        <v>756.85</v>
      </c>
      <c r="D38">
        <v>451.71</v>
      </c>
      <c r="E38">
        <v>0</v>
      </c>
      <c r="F38">
        <v>3600.93</v>
      </c>
      <c r="G38" s="1">
        <v>1208.5581307509215</v>
      </c>
      <c r="H38" s="1">
        <v>756.84881116341307</v>
      </c>
      <c r="I38" s="1">
        <v>451.7093195875085</v>
      </c>
      <c r="J38" s="1">
        <v>0</v>
      </c>
      <c r="K38" s="1">
        <v>3602.0920000000001</v>
      </c>
      <c r="N38" s="33" t="s">
        <v>594</v>
      </c>
      <c r="O38" s="11" t="s">
        <v>75</v>
      </c>
      <c r="P38" s="13">
        <v>1208.5581307499999</v>
      </c>
      <c r="Q38" s="13">
        <v>756.85</v>
      </c>
      <c r="R38" s="13">
        <v>451.71</v>
      </c>
      <c r="T38" s="13">
        <v>1208.5581307509215</v>
      </c>
      <c r="U38" s="13">
        <v>756.84881116341307</v>
      </c>
      <c r="V38" s="13">
        <v>451.7093195875085</v>
      </c>
      <c r="X38" s="12">
        <f t="shared" si="2"/>
        <v>-7.6251649227624017E-13</v>
      </c>
      <c r="Y38" s="12">
        <f t="shared" si="3"/>
        <v>1.5707690915612441E-6</v>
      </c>
      <c r="Z38" s="12">
        <f t="shared" si="4"/>
        <v>1.5063038043801229E-6</v>
      </c>
      <c r="AA38" s="12"/>
      <c r="AB38" s="12"/>
    </row>
    <row r="39" spans="1:28" x14ac:dyDescent="0.3">
      <c r="A39" t="s">
        <v>751</v>
      </c>
      <c r="B39">
        <v>1375.20956692</v>
      </c>
      <c r="C39">
        <v>766.26</v>
      </c>
      <c r="D39">
        <v>608.95000000000005</v>
      </c>
      <c r="E39">
        <v>0</v>
      </c>
      <c r="F39">
        <v>247.29</v>
      </c>
      <c r="G39" s="1">
        <v>1186.7271707572488</v>
      </c>
      <c r="H39" s="1">
        <v>764.63315919710328</v>
      </c>
      <c r="I39" s="1">
        <v>422.09401156014553</v>
      </c>
      <c r="J39" s="1">
        <v>0</v>
      </c>
      <c r="K39" s="1">
        <v>3601.462</v>
      </c>
      <c r="N39" s="33"/>
      <c r="O39" s="11" t="s">
        <v>76</v>
      </c>
      <c r="P39" s="13">
        <v>1375.20956692</v>
      </c>
      <c r="Q39" s="13">
        <v>766.26</v>
      </c>
      <c r="R39" s="13">
        <v>608.95000000000005</v>
      </c>
      <c r="T39" s="13">
        <v>1186.7271707572488</v>
      </c>
      <c r="U39" s="13">
        <v>764.63315919710328</v>
      </c>
      <c r="V39" s="13">
        <v>422.09401156014553</v>
      </c>
      <c r="X39" s="12">
        <f t="shared" si="2"/>
        <v>0.13705721709374627</v>
      </c>
      <c r="Y39" s="12">
        <f t="shared" si="3"/>
        <v>2.123092426717705E-3</v>
      </c>
      <c r="Z39" s="12">
        <f t="shared" si="4"/>
        <v>0.30684947604869778</v>
      </c>
      <c r="AA39" s="12"/>
      <c r="AB39" s="12"/>
    </row>
    <row r="40" spans="1:28" x14ac:dyDescent="0.3">
      <c r="A40" t="s">
        <v>755</v>
      </c>
      <c r="B40">
        <v>1203.52692695</v>
      </c>
      <c r="C40">
        <v>737.64</v>
      </c>
      <c r="D40">
        <v>465.89</v>
      </c>
      <c r="E40">
        <v>0</v>
      </c>
      <c r="F40">
        <v>352.94</v>
      </c>
      <c r="G40" s="1">
        <v>1031.6821416486048</v>
      </c>
      <c r="H40" s="1">
        <v>736.77641220325529</v>
      </c>
      <c r="I40" s="1">
        <v>294.90572944534955</v>
      </c>
      <c r="J40" s="1">
        <v>0</v>
      </c>
      <c r="K40" s="1">
        <v>3601.6889999999999</v>
      </c>
      <c r="N40" s="33"/>
      <c r="O40" s="11" t="s">
        <v>77</v>
      </c>
      <c r="P40" s="13">
        <v>1203.52692695</v>
      </c>
      <c r="Q40" s="13">
        <v>737.64</v>
      </c>
      <c r="R40" s="13">
        <v>465.89</v>
      </c>
      <c r="T40" s="13">
        <v>1031.6821416486048</v>
      </c>
      <c r="U40" s="13">
        <v>736.77641220325529</v>
      </c>
      <c r="V40" s="13">
        <v>294.90572944534955</v>
      </c>
      <c r="X40" s="12">
        <f t="shared" si="2"/>
        <v>0.14278432950136594</v>
      </c>
      <c r="Y40" s="12">
        <f t="shared" si="3"/>
        <v>1.1707442610822297E-3</v>
      </c>
      <c r="Z40" s="12">
        <f t="shared" si="4"/>
        <v>0.36700566776417276</v>
      </c>
      <c r="AA40" s="12"/>
      <c r="AB40" s="12"/>
    </row>
    <row r="41" spans="1:28" x14ac:dyDescent="0.3">
      <c r="A41" t="s">
        <v>759</v>
      </c>
      <c r="B41">
        <v>1255.0435796500001</v>
      </c>
      <c r="C41">
        <v>771.06</v>
      </c>
      <c r="D41">
        <v>483.98</v>
      </c>
      <c r="E41">
        <v>0</v>
      </c>
      <c r="F41">
        <v>270.94</v>
      </c>
      <c r="G41" s="1">
        <v>1103.9327734666153</v>
      </c>
      <c r="H41" s="1">
        <v>771.0058414329003</v>
      </c>
      <c r="I41" s="1">
        <v>332.9269320337151</v>
      </c>
      <c r="J41" s="1">
        <v>0</v>
      </c>
      <c r="K41" s="1">
        <v>3600.875</v>
      </c>
      <c r="N41" s="33"/>
      <c r="O41" s="11" t="s">
        <v>78</v>
      </c>
      <c r="P41" s="13">
        <v>1255.0435796500001</v>
      </c>
      <c r="Q41" s="13">
        <v>771.06</v>
      </c>
      <c r="R41" s="13">
        <v>483.98</v>
      </c>
      <c r="T41" s="13">
        <v>1103.9327734666153</v>
      </c>
      <c r="U41" s="13">
        <v>771.0058414329003</v>
      </c>
      <c r="V41" s="13">
        <v>332.9269320337151</v>
      </c>
      <c r="X41" s="12">
        <f t="shared" si="2"/>
        <v>0.12040283591230012</v>
      </c>
      <c r="Y41" s="12">
        <f t="shared" si="3"/>
        <v>7.0239108629222482E-5</v>
      </c>
      <c r="Z41" s="12">
        <f t="shared" si="4"/>
        <v>0.31210601257548848</v>
      </c>
      <c r="AA41" s="12"/>
      <c r="AB41" s="12"/>
    </row>
    <row r="42" spans="1:28" x14ac:dyDescent="0.3">
      <c r="A42" t="s">
        <v>763</v>
      </c>
      <c r="B42">
        <v>1298.8821658300001</v>
      </c>
      <c r="C42">
        <v>777.39</v>
      </c>
      <c r="D42">
        <v>521.49</v>
      </c>
      <c r="E42">
        <v>0</v>
      </c>
      <c r="F42">
        <v>369.49</v>
      </c>
      <c r="G42" s="1">
        <v>1192.9265569658357</v>
      </c>
      <c r="H42" s="1">
        <v>776.4858417358372</v>
      </c>
      <c r="I42" s="1">
        <v>416.4407152299986</v>
      </c>
      <c r="J42" s="1">
        <v>0</v>
      </c>
      <c r="K42" s="1">
        <v>3602.0509999999999</v>
      </c>
      <c r="N42" s="33"/>
      <c r="O42" s="11" t="s">
        <v>79</v>
      </c>
      <c r="P42" s="13">
        <v>1298.8821658300001</v>
      </c>
      <c r="Q42" s="13">
        <v>777.39</v>
      </c>
      <c r="R42" s="13">
        <v>521.49</v>
      </c>
      <c r="T42" s="13">
        <v>1192.9265569658357</v>
      </c>
      <c r="U42" s="13">
        <v>776.4858417358372</v>
      </c>
      <c r="V42" s="13">
        <v>416.4407152299986</v>
      </c>
      <c r="X42" s="12">
        <f t="shared" si="2"/>
        <v>8.1574458139131917E-2</v>
      </c>
      <c r="Y42" s="12">
        <f t="shared" si="3"/>
        <v>1.1630690697883796E-3</v>
      </c>
      <c r="Z42" s="12">
        <f t="shared" si="4"/>
        <v>0.20144065038639553</v>
      </c>
      <c r="AA42" s="12"/>
      <c r="AB42" s="12"/>
    </row>
    <row r="43" spans="1:28" x14ac:dyDescent="0.3">
      <c r="A43" t="s">
        <v>767</v>
      </c>
      <c r="B43">
        <v>1877.11863879</v>
      </c>
      <c r="C43">
        <v>1226.58</v>
      </c>
      <c r="D43">
        <v>650.54</v>
      </c>
      <c r="E43">
        <v>0</v>
      </c>
      <c r="F43">
        <v>1071.42</v>
      </c>
      <c r="G43" s="1">
        <v>1811.8662396472282</v>
      </c>
      <c r="H43" s="1">
        <v>1226.5424328586689</v>
      </c>
      <c r="I43" s="1">
        <v>585.32380678855941</v>
      </c>
      <c r="J43" s="1">
        <v>0</v>
      </c>
      <c r="K43" s="1">
        <v>3602.6869999999999</v>
      </c>
      <c r="N43" s="33" t="s">
        <v>595</v>
      </c>
      <c r="O43" s="11" t="s">
        <v>80</v>
      </c>
      <c r="P43" s="13">
        <v>1877.11863879</v>
      </c>
      <c r="Q43" s="13">
        <v>1226.58</v>
      </c>
      <c r="R43" s="13">
        <v>650.54</v>
      </c>
      <c r="T43" s="13">
        <v>1811.8662396472282</v>
      </c>
      <c r="U43" s="13">
        <v>1226.5424328586689</v>
      </c>
      <c r="V43" s="13">
        <v>585.32380678855941</v>
      </c>
      <c r="X43" s="12">
        <f t="shared" si="2"/>
        <v>3.4762000544000665E-2</v>
      </c>
      <c r="Y43" s="12">
        <f t="shared" si="3"/>
        <v>3.0627550857677557E-5</v>
      </c>
      <c r="Z43" s="12">
        <f t="shared" si="4"/>
        <v>0.10024932088947729</v>
      </c>
      <c r="AA43" s="12"/>
      <c r="AB43" s="12"/>
    </row>
    <row r="44" spans="1:28" x14ac:dyDescent="0.3">
      <c r="A44" t="s">
        <v>771</v>
      </c>
      <c r="B44">
        <v>1767.60533108</v>
      </c>
      <c r="C44">
        <v>1174.74</v>
      </c>
      <c r="D44">
        <v>592.86</v>
      </c>
      <c r="E44">
        <v>0</v>
      </c>
      <c r="F44">
        <v>577.16</v>
      </c>
      <c r="G44" s="1">
        <v>1699.0113713965643</v>
      </c>
      <c r="H44" s="1">
        <v>1173.4351444345878</v>
      </c>
      <c r="I44" s="1">
        <v>525.57622696197666</v>
      </c>
      <c r="J44" s="1">
        <v>0</v>
      </c>
      <c r="K44" s="1">
        <v>3601.9459999999999</v>
      </c>
      <c r="N44" s="33"/>
      <c r="O44" s="11" t="s">
        <v>81</v>
      </c>
      <c r="P44" s="13">
        <v>1767.60533108</v>
      </c>
      <c r="Q44" s="13">
        <v>1174.74</v>
      </c>
      <c r="R44" s="13">
        <v>592.86</v>
      </c>
      <c r="T44" s="13">
        <v>1699.0113713965643</v>
      </c>
      <c r="U44" s="13">
        <v>1173.4351444345878</v>
      </c>
      <c r="V44" s="13">
        <v>525.57622696197666</v>
      </c>
      <c r="X44" s="12">
        <f t="shared" si="2"/>
        <v>3.8806151168103285E-2</v>
      </c>
      <c r="Y44" s="12">
        <f t="shared" si="3"/>
        <v>1.1107611602671687E-3</v>
      </c>
      <c r="Z44" s="12">
        <f t="shared" si="4"/>
        <v>0.11349015456941496</v>
      </c>
      <c r="AA44" s="12"/>
      <c r="AB44" s="12"/>
    </row>
    <row r="45" spans="1:28" x14ac:dyDescent="0.3">
      <c r="A45" t="s">
        <v>775</v>
      </c>
      <c r="B45">
        <v>1769.4187633500001</v>
      </c>
      <c r="C45">
        <v>1216.52</v>
      </c>
      <c r="D45">
        <v>552.9</v>
      </c>
      <c r="E45">
        <v>0</v>
      </c>
      <c r="F45">
        <v>519.77</v>
      </c>
      <c r="G45" s="1">
        <v>1697.601469307665</v>
      </c>
      <c r="H45" s="1">
        <v>1215.7395838647913</v>
      </c>
      <c r="I45" s="1">
        <v>481.8618854428737</v>
      </c>
      <c r="J45" s="1">
        <v>0</v>
      </c>
      <c r="K45" s="1">
        <v>3602.098</v>
      </c>
      <c r="N45" s="33"/>
      <c r="O45" s="11" t="s">
        <v>82</v>
      </c>
      <c r="P45" s="13">
        <v>1769.4187633500001</v>
      </c>
      <c r="Q45" s="13">
        <v>1216.52</v>
      </c>
      <c r="R45" s="13">
        <v>552.9</v>
      </c>
      <c r="T45" s="13">
        <v>1697.601469307665</v>
      </c>
      <c r="U45" s="13">
        <v>1215.7395838647913</v>
      </c>
      <c r="V45" s="13">
        <v>481.8618854428737</v>
      </c>
      <c r="X45" s="12">
        <f t="shared" si="2"/>
        <v>4.0588070800359928E-2</v>
      </c>
      <c r="Y45" s="12">
        <f t="shared" si="3"/>
        <v>6.4151525269516725E-4</v>
      </c>
      <c r="Z45" s="12">
        <f t="shared" si="4"/>
        <v>0.12848275376582796</v>
      </c>
      <c r="AA45" s="12"/>
      <c r="AB45" s="12"/>
    </row>
    <row r="46" spans="1:28" x14ac:dyDescent="0.3">
      <c r="A46" t="s">
        <v>779</v>
      </c>
      <c r="B46">
        <v>1810.7983752</v>
      </c>
      <c r="C46">
        <v>1133.42</v>
      </c>
      <c r="D46">
        <v>677.38</v>
      </c>
      <c r="E46">
        <v>0</v>
      </c>
      <c r="F46">
        <v>246.63</v>
      </c>
      <c r="G46" s="1">
        <v>1617.1771751392848</v>
      </c>
      <c r="H46" s="1">
        <v>1130.7528654948476</v>
      </c>
      <c r="I46" s="1">
        <v>486.42430964443713</v>
      </c>
      <c r="J46" s="1">
        <v>0</v>
      </c>
      <c r="K46" s="1">
        <v>3602.1840000000002</v>
      </c>
      <c r="N46" s="33"/>
      <c r="O46" s="11" t="s">
        <v>83</v>
      </c>
      <c r="P46" s="13">
        <v>1810.7983752</v>
      </c>
      <c r="Q46" s="13">
        <v>1133.42</v>
      </c>
      <c r="R46" s="13">
        <v>677.38</v>
      </c>
      <c r="T46" s="13">
        <v>1617.1771751392848</v>
      </c>
      <c r="U46" s="13">
        <v>1130.7528654948476</v>
      </c>
      <c r="V46" s="13">
        <v>486.42430964443713</v>
      </c>
      <c r="X46" s="12">
        <f t="shared" si="2"/>
        <v>0.10692587463766086</v>
      </c>
      <c r="Y46" s="12">
        <f t="shared" si="3"/>
        <v>2.3531740265325205E-3</v>
      </c>
      <c r="Z46" s="12">
        <f t="shared" si="4"/>
        <v>0.28190334871942319</v>
      </c>
      <c r="AA46" s="12"/>
      <c r="AB46" s="12"/>
    </row>
    <row r="47" spans="1:28" x14ac:dyDescent="0.3">
      <c r="A47" t="s">
        <v>783</v>
      </c>
      <c r="B47">
        <v>1916.54900888</v>
      </c>
      <c r="C47">
        <v>1199.3800000000001</v>
      </c>
      <c r="D47">
        <v>717.17</v>
      </c>
      <c r="E47">
        <v>0</v>
      </c>
      <c r="F47">
        <v>640.04</v>
      </c>
      <c r="G47" s="1">
        <v>1837.4136781124437</v>
      </c>
      <c r="H47" s="1">
        <v>1196.6528226122236</v>
      </c>
      <c r="I47" s="1">
        <v>640.76085550022003</v>
      </c>
      <c r="J47" s="1">
        <v>0</v>
      </c>
      <c r="K47" s="1">
        <v>3602.0349999999999</v>
      </c>
      <c r="N47" s="33"/>
      <c r="O47" s="11" t="s">
        <v>84</v>
      </c>
      <c r="P47" s="13">
        <v>1916.54900888</v>
      </c>
      <c r="Q47" s="13">
        <v>1199.3800000000001</v>
      </c>
      <c r="R47" s="13">
        <v>717.17</v>
      </c>
      <c r="T47" s="13">
        <v>1837.4136781124437</v>
      </c>
      <c r="U47" s="13">
        <v>1196.6528226122236</v>
      </c>
      <c r="V47" s="13">
        <v>640.76085550022003</v>
      </c>
      <c r="X47" s="12">
        <f t="shared" si="2"/>
        <v>4.1290533349732442E-2</v>
      </c>
      <c r="Y47" s="12">
        <f t="shared" si="3"/>
        <v>2.2738226315066651E-3</v>
      </c>
      <c r="Z47" s="12">
        <f t="shared" si="4"/>
        <v>0.10654258334813214</v>
      </c>
      <c r="AA47" s="12"/>
      <c r="AB47" s="12"/>
    </row>
    <row r="48" spans="1:28" x14ac:dyDescent="0.3">
      <c r="A48" t="s">
        <v>787</v>
      </c>
      <c r="B48">
        <v>2628.27781671</v>
      </c>
      <c r="C48">
        <v>1754.43</v>
      </c>
      <c r="D48">
        <v>873.85</v>
      </c>
      <c r="E48">
        <v>0</v>
      </c>
      <c r="F48">
        <v>483.11</v>
      </c>
      <c r="G48" s="1">
        <v>2530.4166491521605</v>
      </c>
      <c r="H48" s="1">
        <v>1753.4815943689521</v>
      </c>
      <c r="I48" s="1">
        <v>776.93505478320844</v>
      </c>
      <c r="J48" s="1">
        <v>0</v>
      </c>
      <c r="K48" s="1">
        <v>3601.7660000000001</v>
      </c>
      <c r="N48" s="33" t="s">
        <v>597</v>
      </c>
      <c r="O48" s="11" t="s">
        <v>85</v>
      </c>
      <c r="P48" s="13">
        <v>2628.27781671</v>
      </c>
      <c r="Q48" s="13">
        <v>1754.43</v>
      </c>
      <c r="R48" s="13">
        <v>873.85</v>
      </c>
      <c r="T48" s="13">
        <v>2530.4166491521605</v>
      </c>
      <c r="U48" s="13">
        <v>1753.4815943689521</v>
      </c>
      <c r="V48" s="13">
        <v>776.93505478320844</v>
      </c>
      <c r="X48" s="12">
        <f t="shared" si="2"/>
        <v>3.7233951044162904E-2</v>
      </c>
      <c r="Y48" s="12">
        <f t="shared" si="3"/>
        <v>5.4057764119856016E-4</v>
      </c>
      <c r="Z48" s="12">
        <f t="shared" si="4"/>
        <v>0.11090569916666657</v>
      </c>
      <c r="AA48" s="12"/>
      <c r="AB48" s="12"/>
    </row>
    <row r="49" spans="1:28" x14ac:dyDescent="0.3">
      <c r="A49" t="s">
        <v>791</v>
      </c>
      <c r="B49">
        <v>2489.2333634299998</v>
      </c>
      <c r="C49">
        <v>1660.52</v>
      </c>
      <c r="D49">
        <v>828.71</v>
      </c>
      <c r="E49">
        <v>0</v>
      </c>
      <c r="F49">
        <v>405.34</v>
      </c>
      <c r="G49" s="1">
        <v>2444.015455984334</v>
      </c>
      <c r="H49" s="1">
        <v>1660.3382137002591</v>
      </c>
      <c r="I49" s="1">
        <v>783.67724228407519</v>
      </c>
      <c r="J49" s="1">
        <v>0</v>
      </c>
      <c r="K49" s="1">
        <v>3602.328</v>
      </c>
      <c r="N49" s="33"/>
      <c r="O49" s="11" t="s">
        <v>86</v>
      </c>
      <c r="P49" s="13">
        <v>2489.2333634299998</v>
      </c>
      <c r="Q49" s="13">
        <v>1660.52</v>
      </c>
      <c r="R49" s="13">
        <v>828.71</v>
      </c>
      <c r="T49" s="13">
        <v>2444.015455984334</v>
      </c>
      <c r="U49" s="13">
        <v>1660.3382137002591</v>
      </c>
      <c r="V49" s="13">
        <v>783.67724228407519</v>
      </c>
      <c r="X49" s="12">
        <f t="shared" si="2"/>
        <v>1.8165395060975115E-2</v>
      </c>
      <c r="Y49" s="12">
        <f t="shared" si="3"/>
        <v>1.0947552558289364E-4</v>
      </c>
      <c r="Z49" s="12">
        <f t="shared" si="4"/>
        <v>5.434079197297588E-2</v>
      </c>
      <c r="AA49" s="12"/>
      <c r="AB49" s="12"/>
    </row>
    <row r="50" spans="1:28" x14ac:dyDescent="0.3">
      <c r="A50" t="s">
        <v>795</v>
      </c>
      <c r="B50">
        <v>2431.4721356700002</v>
      </c>
      <c r="C50">
        <v>1759.13</v>
      </c>
      <c r="D50">
        <v>672.34</v>
      </c>
      <c r="E50">
        <v>0</v>
      </c>
      <c r="F50">
        <v>454.23</v>
      </c>
      <c r="G50" s="1">
        <v>2322.5820588080342</v>
      </c>
      <c r="H50" s="1">
        <v>1758.6910651852952</v>
      </c>
      <c r="I50" s="1">
        <v>563.89099362273907</v>
      </c>
      <c r="J50" s="1">
        <v>0</v>
      </c>
      <c r="K50" s="1">
        <v>3669.4569999999999</v>
      </c>
      <c r="N50" s="33"/>
      <c r="O50" s="11" t="s">
        <v>87</v>
      </c>
      <c r="P50" s="13">
        <v>2431.4721356700002</v>
      </c>
      <c r="Q50" s="13">
        <v>1759.13</v>
      </c>
      <c r="R50" s="13">
        <v>672.34</v>
      </c>
      <c r="T50" s="13">
        <v>2322.5820588080342</v>
      </c>
      <c r="U50" s="13">
        <v>1758.6910651852952</v>
      </c>
      <c r="V50" s="13">
        <v>563.89099362273907</v>
      </c>
      <c r="X50" s="12">
        <f t="shared" si="2"/>
        <v>4.4783600545749619E-2</v>
      </c>
      <c r="Y50" s="12">
        <f t="shared" si="3"/>
        <v>2.4951812242694267E-4</v>
      </c>
      <c r="Z50" s="12">
        <f t="shared" si="4"/>
        <v>0.16130083942240675</v>
      </c>
      <c r="AA50" s="12"/>
      <c r="AB50" s="12"/>
    </row>
    <row r="51" spans="1:28" x14ac:dyDescent="0.3">
      <c r="A51" t="s">
        <v>799</v>
      </c>
      <c r="B51">
        <v>2621.9457205600002</v>
      </c>
      <c r="C51">
        <v>1691.88</v>
      </c>
      <c r="D51">
        <v>930.07</v>
      </c>
      <c r="E51">
        <v>0</v>
      </c>
      <c r="F51">
        <v>334.74</v>
      </c>
      <c r="G51" s="1">
        <v>2497.0165783656589</v>
      </c>
      <c r="H51" s="1">
        <v>1693.2025600097879</v>
      </c>
      <c r="I51" s="1">
        <v>803.81401835587087</v>
      </c>
      <c r="J51" s="1">
        <v>0</v>
      </c>
      <c r="K51" s="1">
        <v>3602.1419999999998</v>
      </c>
      <c r="N51" s="33"/>
      <c r="O51" s="11" t="s">
        <v>88</v>
      </c>
      <c r="P51" s="13">
        <v>2621.9457205600002</v>
      </c>
      <c r="Q51" s="13">
        <v>1691.88</v>
      </c>
      <c r="R51" s="13">
        <v>930.07</v>
      </c>
      <c r="T51" s="13">
        <v>2497.0165783656589</v>
      </c>
      <c r="U51" s="13">
        <v>1693.2025600097879</v>
      </c>
      <c r="V51" s="13">
        <v>803.81401835587087</v>
      </c>
      <c r="X51" s="12">
        <f t="shared" si="2"/>
        <v>4.7647493697031466E-2</v>
      </c>
      <c r="Y51" s="12">
        <f t="shared" si="3"/>
        <v>-7.817102925667431E-4</v>
      </c>
      <c r="Z51" s="12">
        <f t="shared" si="4"/>
        <v>0.1357489023881312</v>
      </c>
      <c r="AA51" s="12"/>
      <c r="AB51" s="12"/>
    </row>
    <row r="52" spans="1:28" x14ac:dyDescent="0.3">
      <c r="A52" t="s">
        <v>803</v>
      </c>
      <c r="B52">
        <v>2537.2195221400002</v>
      </c>
      <c r="C52">
        <v>1736.32</v>
      </c>
      <c r="D52">
        <v>800.9</v>
      </c>
      <c r="E52">
        <v>0</v>
      </c>
      <c r="F52">
        <v>341.13</v>
      </c>
      <c r="G52" s="1">
        <v>2337.4109040825592</v>
      </c>
      <c r="H52" s="1">
        <v>1735.095069865137</v>
      </c>
      <c r="I52" s="1">
        <v>602.31583421742209</v>
      </c>
      <c r="J52" s="1">
        <v>0</v>
      </c>
      <c r="K52" s="1">
        <v>3602.127</v>
      </c>
      <c r="N52" s="33"/>
      <c r="O52" s="11" t="s">
        <v>89</v>
      </c>
      <c r="P52" s="13">
        <v>2537.2195221400002</v>
      </c>
      <c r="Q52" s="13">
        <v>1736.32</v>
      </c>
      <c r="R52" s="13">
        <v>800.9</v>
      </c>
      <c r="T52" s="13">
        <v>2337.4109040825592</v>
      </c>
      <c r="U52" s="13">
        <v>1735.095069865137</v>
      </c>
      <c r="V52" s="13">
        <v>602.31583421742209</v>
      </c>
      <c r="X52" s="12">
        <f t="shared" si="2"/>
        <v>7.8751017132689324E-2</v>
      </c>
      <c r="Y52" s="12">
        <f t="shared" si="3"/>
        <v>7.0547487494408635E-4</v>
      </c>
      <c r="Z52" s="12">
        <f t="shared" si="4"/>
        <v>0.24795126205840665</v>
      </c>
      <c r="AA52" s="12"/>
      <c r="AB52" s="12"/>
    </row>
  </sheetData>
  <mergeCells count="32">
    <mergeCell ref="B1:F1"/>
    <mergeCell ref="G1:K1"/>
    <mergeCell ref="N1:O1"/>
    <mergeCell ref="N3:N7"/>
    <mergeCell ref="N8:N12"/>
    <mergeCell ref="N48:N52"/>
    <mergeCell ref="P1:S1"/>
    <mergeCell ref="T1:W1"/>
    <mergeCell ref="X1:Z1"/>
    <mergeCell ref="AE1:AF1"/>
    <mergeCell ref="AC1:AD1"/>
    <mergeCell ref="AC3:AC7"/>
    <mergeCell ref="AC8:AC12"/>
    <mergeCell ref="AC13:AC17"/>
    <mergeCell ref="N18:N22"/>
    <mergeCell ref="N23:N27"/>
    <mergeCell ref="N28:N32"/>
    <mergeCell ref="N33:N37"/>
    <mergeCell ref="N38:N42"/>
    <mergeCell ref="N43:N47"/>
    <mergeCell ref="N13:N17"/>
    <mergeCell ref="AK23:AK27"/>
    <mergeCell ref="AK1:AL1"/>
    <mergeCell ref="AM1:AN1"/>
    <mergeCell ref="AO1:AP1"/>
    <mergeCell ref="AC18:AC22"/>
    <mergeCell ref="AC23:AC27"/>
    <mergeCell ref="AK3:AK7"/>
    <mergeCell ref="AK8:AK12"/>
    <mergeCell ref="AK13:AK17"/>
    <mergeCell ref="AK18:AK22"/>
    <mergeCell ref="AG1:AH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30DE-335A-4CB1-83EC-A386C8E01F34}">
  <dimension ref="A1:R97"/>
  <sheetViews>
    <sheetView topLeftCell="A25" workbookViewId="0">
      <selection activeCell="G54" sqref="G54"/>
    </sheetView>
  </sheetViews>
  <sheetFormatPr defaultRowHeight="14" x14ac:dyDescent="0.3"/>
  <cols>
    <col min="1" max="1" width="21.58203125" bestFit="1" customWidth="1"/>
    <col min="3" max="5" width="10.6640625" bestFit="1" customWidth="1"/>
    <col min="6" max="6" width="13.58203125" bestFit="1" customWidth="1"/>
    <col min="7" max="7" width="12.9140625" bestFit="1" customWidth="1"/>
    <col min="8" max="8" width="8.58203125" bestFit="1" customWidth="1"/>
    <col min="9" max="9" width="7.9140625" customWidth="1"/>
    <col min="10" max="10" width="8.58203125" bestFit="1" customWidth="1"/>
    <col min="11" max="11" width="6.58203125" bestFit="1" customWidth="1"/>
    <col min="12" max="12" width="21.58203125" bestFit="1" customWidth="1"/>
    <col min="13" max="13" width="8.6640625" bestFit="1" customWidth="1"/>
    <col min="14" max="14" width="13.1640625" customWidth="1"/>
    <col min="15" max="15" width="12.9140625" customWidth="1"/>
    <col min="16" max="16" width="10.08203125" customWidth="1"/>
    <col min="17" max="17" width="12.25" bestFit="1" customWidth="1"/>
    <col min="18" max="18" width="11.4140625" bestFit="1" customWidth="1"/>
  </cols>
  <sheetData>
    <row r="1" spans="1:14" x14ac:dyDescent="0.3">
      <c r="A1" s="33" t="s">
        <v>807</v>
      </c>
      <c r="B1" s="33"/>
      <c r="C1" s="33" t="s">
        <v>39</v>
      </c>
      <c r="D1" s="33"/>
      <c r="E1" s="33"/>
      <c r="F1" s="33" t="s">
        <v>818</v>
      </c>
      <c r="G1" s="33"/>
      <c r="H1" s="33" t="s">
        <v>819</v>
      </c>
      <c r="I1" s="33"/>
      <c r="J1" s="33" t="s">
        <v>815</v>
      </c>
      <c r="K1" s="33"/>
    </row>
    <row r="2" spans="1:14" x14ac:dyDescent="0.3">
      <c r="A2" t="s">
        <v>816</v>
      </c>
      <c r="B2" t="s">
        <v>817</v>
      </c>
      <c r="C2" t="s">
        <v>7</v>
      </c>
      <c r="D2" t="s">
        <v>11</v>
      </c>
      <c r="E2" t="s">
        <v>9</v>
      </c>
      <c r="F2" t="s">
        <v>7</v>
      </c>
      <c r="G2" t="s">
        <v>11</v>
      </c>
      <c r="H2" t="s">
        <v>7</v>
      </c>
      <c r="I2" t="s">
        <v>11</v>
      </c>
      <c r="J2" t="s">
        <v>7</v>
      </c>
      <c r="K2" t="s">
        <v>11</v>
      </c>
      <c r="L2" t="s">
        <v>822</v>
      </c>
      <c r="M2" t="s">
        <v>821</v>
      </c>
      <c r="N2" t="s">
        <v>820</v>
      </c>
    </row>
    <row r="3" spans="1:14" x14ac:dyDescent="0.3">
      <c r="A3" s="33" t="s">
        <v>598</v>
      </c>
      <c r="B3" t="s">
        <v>50</v>
      </c>
      <c r="C3" s="13">
        <v>19.113158371209611</v>
      </c>
      <c r="D3" s="14">
        <v>2.3029999999999999</v>
      </c>
      <c r="E3" s="12">
        <v>0</v>
      </c>
      <c r="F3" s="13">
        <v>19.1131583712096</v>
      </c>
      <c r="G3" s="14">
        <v>3600.0839999999998</v>
      </c>
      <c r="H3" s="13">
        <v>32.910009879999997</v>
      </c>
      <c r="I3" s="14">
        <v>0.28000000000000003</v>
      </c>
      <c r="J3" s="13">
        <v>19.120358371209612</v>
      </c>
      <c r="K3" s="14">
        <v>784.38</v>
      </c>
      <c r="L3" s="12">
        <v>-3.7670383199704102E-4</v>
      </c>
      <c r="M3" s="12">
        <v>-3.7670383199704102E-4</v>
      </c>
      <c r="N3" s="12">
        <v>0.41901085897791246</v>
      </c>
    </row>
    <row r="4" spans="1:14" x14ac:dyDescent="0.3">
      <c r="A4" s="33"/>
      <c r="B4" t="s">
        <v>51</v>
      </c>
      <c r="C4" s="13">
        <v>22.152430125032964</v>
      </c>
      <c r="D4" s="14">
        <v>4.9210000000000003</v>
      </c>
      <c r="E4" s="12">
        <v>0</v>
      </c>
      <c r="F4" s="13">
        <v>22.152430125032968</v>
      </c>
      <c r="G4" s="14">
        <v>3600.0920000000001</v>
      </c>
      <c r="H4" s="13">
        <v>42.891180929999997</v>
      </c>
      <c r="I4" s="14">
        <v>0.47</v>
      </c>
      <c r="J4" s="13">
        <v>22.152430125032968</v>
      </c>
      <c r="K4" s="14">
        <v>1784.1759999999999</v>
      </c>
      <c r="L4" s="12">
        <v>-1.6037579889647497E-16</v>
      </c>
      <c r="M4" s="12">
        <v>0</v>
      </c>
      <c r="N4" s="12">
        <v>0.48352016324319541</v>
      </c>
    </row>
    <row r="5" spans="1:14" x14ac:dyDescent="0.3">
      <c r="A5" s="33"/>
      <c r="B5" t="s">
        <v>52</v>
      </c>
      <c r="C5" s="13">
        <v>2.3320333963418576</v>
      </c>
      <c r="D5" s="14">
        <v>0.90700000000000003</v>
      </c>
      <c r="E5" s="12">
        <v>0</v>
      </c>
      <c r="F5" s="13">
        <v>2.3320333963418576</v>
      </c>
      <c r="G5" s="14">
        <v>3600.0909999999999</v>
      </c>
      <c r="H5" s="13">
        <v>2.3320333999999998</v>
      </c>
      <c r="I5" s="14">
        <v>0.27</v>
      </c>
      <c r="J5" s="13">
        <v>2.3320333963418576</v>
      </c>
      <c r="K5" s="14">
        <v>135.89400000000001</v>
      </c>
      <c r="L5" s="12">
        <v>0</v>
      </c>
      <c r="M5" s="12">
        <v>0</v>
      </c>
      <c r="N5" s="12">
        <v>1.5686491598172416E-9</v>
      </c>
    </row>
    <row r="6" spans="1:14" x14ac:dyDescent="0.3">
      <c r="A6" s="33"/>
      <c r="B6" t="s">
        <v>53</v>
      </c>
      <c r="C6" s="13">
        <v>3.968250290840007</v>
      </c>
      <c r="D6" s="14">
        <v>2.5099999999999998</v>
      </c>
      <c r="E6" s="12">
        <v>0</v>
      </c>
      <c r="F6" s="13">
        <v>3.9682502908400066</v>
      </c>
      <c r="G6" s="14">
        <v>3600.1</v>
      </c>
      <c r="H6" s="13">
        <v>4.0228502900000001</v>
      </c>
      <c r="I6" s="14">
        <v>0.31</v>
      </c>
      <c r="J6" s="13">
        <v>3.9682502908400066</v>
      </c>
      <c r="K6" s="14">
        <v>750.221</v>
      </c>
      <c r="L6" s="12">
        <v>1.1191058459068541E-16</v>
      </c>
      <c r="M6" s="12">
        <v>0</v>
      </c>
      <c r="N6" s="12">
        <v>1.3572466093435823E-2</v>
      </c>
    </row>
    <row r="7" spans="1:14" x14ac:dyDescent="0.3">
      <c r="A7" s="33"/>
      <c r="B7" t="s">
        <v>54</v>
      </c>
      <c r="C7" s="13">
        <v>3.7929994136695395</v>
      </c>
      <c r="D7" s="14">
        <v>1.538</v>
      </c>
      <c r="E7" s="12">
        <v>0</v>
      </c>
      <c r="F7" s="13">
        <v>3.7929994136695404</v>
      </c>
      <c r="G7" s="14">
        <v>3600.0169999999998</v>
      </c>
      <c r="H7" s="13">
        <v>3.8937994100000002</v>
      </c>
      <c r="I7" s="14">
        <v>0.09</v>
      </c>
      <c r="J7" s="13">
        <v>3.7953994136695393</v>
      </c>
      <c r="K7" s="14">
        <v>708.14300000000003</v>
      </c>
      <c r="L7" s="12">
        <v>-6.3274462720727242E-4</v>
      </c>
      <c r="M7" s="12">
        <v>-6.3274462720703812E-4</v>
      </c>
      <c r="N7" s="12">
        <v>2.5270946438008968E-2</v>
      </c>
    </row>
    <row r="8" spans="1:14" x14ac:dyDescent="0.3">
      <c r="A8" s="33" t="s">
        <v>599</v>
      </c>
      <c r="B8" t="s">
        <v>55</v>
      </c>
      <c r="C8" s="13">
        <v>39.75575014615066</v>
      </c>
      <c r="D8" s="14">
        <v>3601.355</v>
      </c>
      <c r="E8" s="12">
        <v>9.0671677550743519E-4</v>
      </c>
      <c r="F8" s="13">
        <v>39.761758749796655</v>
      </c>
      <c r="G8" s="14">
        <v>3600.1260000000002</v>
      </c>
      <c r="H8" s="13">
        <v>55.931089980000003</v>
      </c>
      <c r="I8" s="14">
        <v>0.61</v>
      </c>
      <c r="J8" s="13">
        <v>40.118458749796645</v>
      </c>
      <c r="K8" s="14">
        <v>3600.4140000000002</v>
      </c>
      <c r="L8" s="12">
        <v>-9.1234249715472539E-3</v>
      </c>
      <c r="M8" s="12">
        <v>-8.9709311462942663E-3</v>
      </c>
      <c r="N8" s="12">
        <v>0.28271630743934517</v>
      </c>
    </row>
    <row r="9" spans="1:14" x14ac:dyDescent="0.3">
      <c r="A9" s="33"/>
      <c r="B9" t="s">
        <v>56</v>
      </c>
      <c r="C9" s="13">
        <v>41.555424227173049</v>
      </c>
      <c r="D9" s="14">
        <v>207.953</v>
      </c>
      <c r="E9" s="12">
        <v>8.2186408665249551E-5</v>
      </c>
      <c r="F9" s="13">
        <v>41.555424227173049</v>
      </c>
      <c r="G9" s="14">
        <v>3600.096</v>
      </c>
      <c r="H9" s="13">
        <v>57.656505899999999</v>
      </c>
      <c r="I9" s="14">
        <v>0.38</v>
      </c>
      <c r="J9" s="13">
        <v>41.898026514197895</v>
      </c>
      <c r="K9" s="14">
        <v>3600.0569999999998</v>
      </c>
      <c r="L9" s="12">
        <v>-8.2444661171529737E-3</v>
      </c>
      <c r="M9" s="12">
        <v>-8.2444661171529737E-3</v>
      </c>
      <c r="N9" s="12">
        <v>0.273316586564121</v>
      </c>
    </row>
    <row r="10" spans="1:14" x14ac:dyDescent="0.3">
      <c r="A10" s="33"/>
      <c r="B10" t="s">
        <v>57</v>
      </c>
      <c r="C10" s="13">
        <v>19.740402093227388</v>
      </c>
      <c r="D10" s="14">
        <v>820.41899999999998</v>
      </c>
      <c r="E10" s="12">
        <v>0</v>
      </c>
      <c r="F10" s="13">
        <v>19.740402093227388</v>
      </c>
      <c r="G10" s="14">
        <v>3600.0990000000002</v>
      </c>
      <c r="H10" s="13">
        <v>20.29128236</v>
      </c>
      <c r="I10" s="14">
        <v>0.55000000000000004</v>
      </c>
      <c r="J10" s="13">
        <v>19.868326224054695</v>
      </c>
      <c r="K10" s="14">
        <v>3600.5169999999998</v>
      </c>
      <c r="L10" s="12">
        <v>-6.4803204222063527E-3</v>
      </c>
      <c r="M10" s="12">
        <v>-6.4803204222063527E-3</v>
      </c>
      <c r="N10" s="12">
        <v>2.0844228986684199E-2</v>
      </c>
    </row>
    <row r="11" spans="1:14" x14ac:dyDescent="0.3">
      <c r="A11" s="33"/>
      <c r="B11" t="s">
        <v>58</v>
      </c>
      <c r="C11" s="13">
        <v>22.758820843048195</v>
      </c>
      <c r="D11" s="14">
        <v>3601.018</v>
      </c>
      <c r="E11" s="12">
        <v>4.9312486298519831E-3</v>
      </c>
      <c r="F11" s="13">
        <v>22.758820843048206</v>
      </c>
      <c r="G11" s="14">
        <v>3600.0859999999998</v>
      </c>
      <c r="H11" s="13">
        <v>28.936699690000001</v>
      </c>
      <c r="I11" s="14">
        <v>1.78</v>
      </c>
      <c r="J11" s="13">
        <v>23.117820147610626</v>
      </c>
      <c r="K11" s="14">
        <v>3600.1170000000002</v>
      </c>
      <c r="L11" s="12">
        <v>-1.5774073140177182E-2</v>
      </c>
      <c r="M11" s="12">
        <v>-1.5774073140176707E-2</v>
      </c>
      <c r="N11" s="12">
        <v>0.20108995167822385</v>
      </c>
    </row>
    <row r="12" spans="1:14" x14ac:dyDescent="0.3">
      <c r="A12" s="33"/>
      <c r="B12" t="s">
        <v>59</v>
      </c>
      <c r="C12" s="13">
        <v>34.061136441961978</v>
      </c>
      <c r="D12" s="14">
        <v>3601.0390000000002</v>
      </c>
      <c r="E12" s="12">
        <v>4.2144084673436605E-3</v>
      </c>
      <c r="F12" s="13">
        <v>34.061136441961978</v>
      </c>
      <c r="G12" s="14">
        <v>3600.1219999999998</v>
      </c>
      <c r="H12" s="13">
        <v>47.283948359999997</v>
      </c>
      <c r="I12" s="14">
        <v>0.35</v>
      </c>
      <c r="J12" s="13">
        <v>34.23259926627064</v>
      </c>
      <c r="K12" s="14">
        <v>3600.277</v>
      </c>
      <c r="L12" s="12">
        <v>-5.0339725041418986E-3</v>
      </c>
      <c r="M12" s="12">
        <v>-5.0339725041418986E-3</v>
      </c>
      <c r="N12" s="12">
        <v>0.27602071202603262</v>
      </c>
    </row>
    <row r="13" spans="1:14" x14ac:dyDescent="0.3">
      <c r="A13" s="33" t="s">
        <v>593</v>
      </c>
      <c r="B13" t="s">
        <v>60</v>
      </c>
      <c r="C13" s="13">
        <v>1014.7879161034551</v>
      </c>
      <c r="D13" s="14">
        <v>3603.576</v>
      </c>
      <c r="E13" s="12">
        <v>0.93890347617094894</v>
      </c>
      <c r="F13" s="13">
        <v>119.85564640508085</v>
      </c>
      <c r="G13" s="14">
        <v>3602.9740000000002</v>
      </c>
      <c r="H13" s="13">
        <v>122.67071694000001</v>
      </c>
      <c r="I13" s="14">
        <v>1.25</v>
      </c>
      <c r="J13" s="13">
        <v>87.71120226777964</v>
      </c>
      <c r="K13" s="14">
        <v>3600.5259999999998</v>
      </c>
      <c r="L13" s="12">
        <v>0.91356696224313561</v>
      </c>
      <c r="M13" s="12">
        <v>0.26819298966242577</v>
      </c>
      <c r="N13" s="12">
        <v>0.28498663368307825</v>
      </c>
    </row>
    <row r="14" spans="1:14" x14ac:dyDescent="0.3">
      <c r="A14" s="33"/>
      <c r="B14" t="s">
        <v>61</v>
      </c>
      <c r="C14" s="13">
        <v>95.557259588525312</v>
      </c>
      <c r="D14" s="14">
        <v>3603.6089999999999</v>
      </c>
      <c r="E14" s="12">
        <v>0.3902552040483972</v>
      </c>
      <c r="F14" s="13">
        <v>79.130001975071039</v>
      </c>
      <c r="G14" s="14">
        <v>3600.2</v>
      </c>
      <c r="H14" s="13">
        <v>114.29318171</v>
      </c>
      <c r="I14" s="14">
        <v>1.21</v>
      </c>
      <c r="J14" s="13">
        <v>75.236867826458607</v>
      </c>
      <c r="K14" s="14">
        <v>3600.5230000000001</v>
      </c>
      <c r="L14" s="12">
        <v>0.21265147043319788</v>
      </c>
      <c r="M14" s="12">
        <v>4.9199217129287043E-2</v>
      </c>
      <c r="N14" s="12">
        <v>0.34172041848165813</v>
      </c>
    </row>
    <row r="15" spans="1:14" x14ac:dyDescent="0.3">
      <c r="A15" s="33"/>
      <c r="B15" t="s">
        <v>62</v>
      </c>
      <c r="C15" s="13">
        <v>600.59706196367097</v>
      </c>
      <c r="D15" s="14">
        <v>3603.5230000000001</v>
      </c>
      <c r="E15" s="12">
        <v>0.90846865434963198</v>
      </c>
      <c r="F15" s="13">
        <v>114.59645245371252</v>
      </c>
      <c r="G15" s="14">
        <v>3603.4870000000001</v>
      </c>
      <c r="H15" s="13">
        <v>116.93704515</v>
      </c>
      <c r="I15" s="14">
        <v>3.95</v>
      </c>
      <c r="J15" s="13">
        <v>78.281067711821493</v>
      </c>
      <c r="K15" s="14">
        <v>3600.2649999999999</v>
      </c>
      <c r="L15" s="12">
        <v>0.8696612543260217</v>
      </c>
      <c r="M15" s="12">
        <v>0.31689798387571755</v>
      </c>
      <c r="N15" s="12">
        <v>0.33057084167461975</v>
      </c>
    </row>
    <row r="16" spans="1:14" x14ac:dyDescent="0.3">
      <c r="A16" s="33"/>
      <c r="B16" t="s">
        <v>63</v>
      </c>
      <c r="C16" s="13">
        <v>79.090030546070395</v>
      </c>
      <c r="D16" s="14">
        <v>3603.453</v>
      </c>
      <c r="E16" s="12">
        <v>0.30597889132136707</v>
      </c>
      <c r="F16" s="13">
        <v>110.35665208980406</v>
      </c>
      <c r="G16" s="14">
        <v>3600.2860000000001</v>
      </c>
      <c r="H16" s="13">
        <v>126.72051441000001</v>
      </c>
      <c r="I16" s="14">
        <v>1.37</v>
      </c>
      <c r="J16" s="13">
        <v>79.823886337707364</v>
      </c>
      <c r="K16" s="14">
        <v>3600.5659999999998</v>
      </c>
      <c r="L16" s="12">
        <v>-9.2787395145775588E-3</v>
      </c>
      <c r="M16" s="12">
        <v>0.2766735414123499</v>
      </c>
      <c r="N16" s="12">
        <v>0.37007921164650709</v>
      </c>
    </row>
    <row r="17" spans="1:14" x14ac:dyDescent="0.3">
      <c r="A17" s="33"/>
      <c r="B17" t="s">
        <v>64</v>
      </c>
      <c r="C17" s="13">
        <v>62.581996299609443</v>
      </c>
      <c r="D17" s="14">
        <v>3602.9180000000001</v>
      </c>
      <c r="E17" s="12">
        <v>1.7105361952065104E-3</v>
      </c>
      <c r="F17" s="13">
        <v>67.93833028370095</v>
      </c>
      <c r="G17" s="14">
        <v>3600.2489999999998</v>
      </c>
      <c r="H17" s="13">
        <v>92.74421117</v>
      </c>
      <c r="I17" s="14">
        <v>2.83</v>
      </c>
      <c r="J17" s="13">
        <v>63.492378102066596</v>
      </c>
      <c r="K17" s="14">
        <v>3600.0540000000001</v>
      </c>
      <c r="L17" s="12">
        <v>-1.4547024005094479E-2</v>
      </c>
      <c r="M17" s="12">
        <v>6.5440998668478911E-2</v>
      </c>
      <c r="N17" s="12">
        <v>0.3154033302878046</v>
      </c>
    </row>
    <row r="18" spans="1:14" x14ac:dyDescent="0.3">
      <c r="A18" s="33" t="s">
        <v>592</v>
      </c>
      <c r="B18" t="s">
        <v>65</v>
      </c>
      <c r="C18" s="13">
        <v>1779.0503180665351</v>
      </c>
      <c r="D18" s="14">
        <v>3608.6219999999998</v>
      </c>
      <c r="E18" s="12">
        <v>0.99645958548608748</v>
      </c>
      <c r="F18" s="13">
        <v>139.8957524937764</v>
      </c>
      <c r="G18" s="14">
        <v>3600.43</v>
      </c>
      <c r="H18" s="13">
        <v>143.50523222999999</v>
      </c>
      <c r="I18" s="14">
        <v>3.04</v>
      </c>
      <c r="J18" s="13">
        <v>96.057852332269405</v>
      </c>
      <c r="K18" s="14">
        <v>3600.7579999999998</v>
      </c>
      <c r="L18" s="12">
        <v>0.94600610710288124</v>
      </c>
      <c r="M18" s="12">
        <v>0.31336119489015385</v>
      </c>
      <c r="N18" s="12">
        <v>0.33063170701459371</v>
      </c>
    </row>
    <row r="19" spans="1:14" x14ac:dyDescent="0.3">
      <c r="A19" s="33"/>
      <c r="B19" t="s">
        <v>66</v>
      </c>
      <c r="C19" s="13">
        <v>1485.9867313469467</v>
      </c>
      <c r="D19" s="14">
        <v>3608.384</v>
      </c>
      <c r="E19" s="12">
        <v>0.99564039637029755</v>
      </c>
      <c r="F19" s="13">
        <v>130.67448008437844</v>
      </c>
      <c r="G19" s="14">
        <v>3600.4749999999999</v>
      </c>
      <c r="H19" s="13">
        <v>136.68911327999999</v>
      </c>
      <c r="I19" s="14">
        <v>2.23</v>
      </c>
      <c r="J19" s="13">
        <v>103.75426744136814</v>
      </c>
      <c r="K19" s="14">
        <v>3601.009</v>
      </c>
      <c r="L19" s="12">
        <v>0.93017820061736234</v>
      </c>
      <c r="M19" s="12">
        <v>0.20600971685999839</v>
      </c>
      <c r="N19" s="12">
        <v>0.24094710286960935</v>
      </c>
    </row>
    <row r="20" spans="1:14" x14ac:dyDescent="0.3">
      <c r="A20" s="33"/>
      <c r="B20" t="s">
        <v>67</v>
      </c>
      <c r="C20" s="13">
        <v>1361.0478745513392</v>
      </c>
      <c r="D20" s="14">
        <v>3607.9450000000002</v>
      </c>
      <c r="E20" s="12">
        <v>0.99625957088498274</v>
      </c>
      <c r="F20" s="13">
        <v>139.7686740833378</v>
      </c>
      <c r="G20" s="14">
        <v>3600.4780000000001</v>
      </c>
      <c r="H20" s="13">
        <v>143.75224972999999</v>
      </c>
      <c r="I20" s="14">
        <v>10.99</v>
      </c>
      <c r="J20" s="13">
        <v>96.89826578643283</v>
      </c>
      <c r="K20" s="14">
        <v>3600.3589999999999</v>
      </c>
      <c r="L20" s="12">
        <v>0.92880612974883436</v>
      </c>
      <c r="M20" s="12">
        <v>0.30672401078472894</v>
      </c>
      <c r="N20" s="12">
        <v>0.32593565687889958</v>
      </c>
    </row>
    <row r="21" spans="1:14" x14ac:dyDescent="0.3">
      <c r="A21" s="33"/>
      <c r="B21" t="s">
        <v>68</v>
      </c>
      <c r="C21" s="13">
        <v>1390.0675692228908</v>
      </c>
      <c r="D21" s="14">
        <v>3608.1179999999999</v>
      </c>
      <c r="E21" s="12">
        <v>0.99647376277875233</v>
      </c>
      <c r="F21" s="13">
        <v>153.50249196774706</v>
      </c>
      <c r="G21" s="14">
        <v>3600.4569999999999</v>
      </c>
      <c r="H21" s="13">
        <v>159.07776181</v>
      </c>
      <c r="I21" s="14">
        <v>2.5299999999999998</v>
      </c>
      <c r="J21" s="13">
        <v>99.010361511311643</v>
      </c>
      <c r="K21" s="14">
        <v>3600.2260000000001</v>
      </c>
      <c r="L21" s="12">
        <v>0.92877298650549567</v>
      </c>
      <c r="M21" s="12">
        <v>0.35499182949997288</v>
      </c>
      <c r="N21" s="12">
        <v>0.37759772085825499</v>
      </c>
    </row>
    <row r="22" spans="1:14" x14ac:dyDescent="0.3">
      <c r="A22" s="33"/>
      <c r="B22" t="s">
        <v>69</v>
      </c>
      <c r="C22" s="13">
        <v>1279.3915889633035</v>
      </c>
      <c r="D22" s="14">
        <v>3609.25</v>
      </c>
      <c r="E22" s="12">
        <v>0.99585741574248532</v>
      </c>
      <c r="F22" s="13">
        <v>150.38724903240183</v>
      </c>
      <c r="G22" s="14">
        <v>3600.4430000000002</v>
      </c>
      <c r="H22" s="13">
        <v>155.03973479999999</v>
      </c>
      <c r="I22" s="14">
        <v>2.16</v>
      </c>
      <c r="J22" s="13">
        <v>107.9504301020327</v>
      </c>
      <c r="K22" s="14">
        <v>3600.366</v>
      </c>
      <c r="L22" s="12">
        <v>0.91562362060742841</v>
      </c>
      <c r="M22" s="12">
        <v>0.28218362396685548</v>
      </c>
      <c r="N22" s="12">
        <v>0.30372410504127939</v>
      </c>
    </row>
    <row r="23" spans="1:14" x14ac:dyDescent="0.3">
      <c r="A23" s="33" t="s">
        <v>596</v>
      </c>
      <c r="B23" t="s">
        <v>70</v>
      </c>
      <c r="C23" s="13">
        <v>1557.924887939429</v>
      </c>
      <c r="D23" s="14">
        <v>3617.569</v>
      </c>
      <c r="E23" s="12">
        <v>0.99597098123196848</v>
      </c>
      <c r="F23" s="13">
        <v>161.43302259709776</v>
      </c>
      <c r="G23" s="14">
        <v>3600.7280000000001</v>
      </c>
      <c r="H23" s="13">
        <v>168.03982887999999</v>
      </c>
      <c r="I23" s="14">
        <v>6.3</v>
      </c>
      <c r="J23" s="13">
        <v>112.44468498811091</v>
      </c>
      <c r="K23" s="14">
        <v>3600.922</v>
      </c>
      <c r="L23" s="12">
        <v>0.92782406529442207</v>
      </c>
      <c r="M23" s="12">
        <v>0.30345921064273973</v>
      </c>
      <c r="N23" s="12">
        <v>0.3308450399077143</v>
      </c>
    </row>
    <row r="24" spans="1:14" x14ac:dyDescent="0.3">
      <c r="A24" s="33"/>
      <c r="B24" t="s">
        <v>71</v>
      </c>
      <c r="C24" s="13">
        <v>2042.2429125479177</v>
      </c>
      <c r="D24" s="14">
        <v>3617.3939999999998</v>
      </c>
      <c r="E24" s="12">
        <v>0.9957398768016934</v>
      </c>
      <c r="F24" s="13">
        <v>192.30465255029085</v>
      </c>
      <c r="G24" s="14">
        <v>3601.0169999999998</v>
      </c>
      <c r="H24" s="13">
        <v>197.35531183000001</v>
      </c>
      <c r="I24" s="14">
        <v>8.2899999999999991</v>
      </c>
      <c r="J24" s="13">
        <v>136.135364351471</v>
      </c>
      <c r="K24" s="14">
        <v>3600.1</v>
      </c>
      <c r="L24" s="12">
        <v>0.93334026842985707</v>
      </c>
      <c r="M24" s="12">
        <v>0.29208491554373939</v>
      </c>
      <c r="N24" s="12">
        <v>0.31020167083854977</v>
      </c>
    </row>
    <row r="25" spans="1:14" x14ac:dyDescent="0.3">
      <c r="A25" s="33"/>
      <c r="B25" t="s">
        <v>72</v>
      </c>
      <c r="C25" s="13">
        <v>2014.4736320687407</v>
      </c>
      <c r="D25" s="14">
        <v>3615.9169999999999</v>
      </c>
      <c r="E25" s="12">
        <v>0.99614347215230492</v>
      </c>
      <c r="F25" s="13">
        <v>148.07209015376804</v>
      </c>
      <c r="G25" s="14">
        <v>3600.8310000000001</v>
      </c>
      <c r="H25" s="13">
        <v>156.32958883000001</v>
      </c>
      <c r="I25" s="14">
        <v>4.4000000000000004</v>
      </c>
      <c r="J25" s="13">
        <v>112.49228066462901</v>
      </c>
      <c r="K25" s="14">
        <v>3600.2069999999999</v>
      </c>
      <c r="L25" s="12">
        <v>0.94415797810711155</v>
      </c>
      <c r="M25" s="12">
        <v>0.2402870753846357</v>
      </c>
      <c r="N25" s="12">
        <v>0.28041593720969682</v>
      </c>
    </row>
    <row r="26" spans="1:14" x14ac:dyDescent="0.3">
      <c r="A26" s="33"/>
      <c r="B26" t="s">
        <v>73</v>
      </c>
      <c r="C26" s="13">
        <v>1918.4566434140004</v>
      </c>
      <c r="D26" s="14">
        <v>3617.0039999999999</v>
      </c>
      <c r="E26" s="12">
        <v>0.99596924402628317</v>
      </c>
      <c r="F26" s="13">
        <v>172.5957766878399</v>
      </c>
      <c r="G26" s="14">
        <v>3600.8</v>
      </c>
      <c r="H26" s="13">
        <v>180.29233119</v>
      </c>
      <c r="I26" s="14">
        <v>4.71</v>
      </c>
      <c r="J26" s="13">
        <v>128.2387680792381</v>
      </c>
      <c r="K26" s="14">
        <v>3600.8919999999998</v>
      </c>
      <c r="L26" s="12">
        <v>0.9331552430337805</v>
      </c>
      <c r="M26" s="12">
        <v>0.25699938584723747</v>
      </c>
      <c r="N26" s="12">
        <v>0.28871756644993157</v>
      </c>
    </row>
    <row r="27" spans="1:14" x14ac:dyDescent="0.3">
      <c r="A27" s="33"/>
      <c r="B27" t="s">
        <v>74</v>
      </c>
      <c r="C27" s="13">
        <v>2296.9963547158604</v>
      </c>
      <c r="D27" s="14">
        <v>3617.3049999999998</v>
      </c>
      <c r="E27" s="12">
        <v>0.99593425979891625</v>
      </c>
      <c r="F27" s="13">
        <v>221.23502350238041</v>
      </c>
      <c r="G27" s="14">
        <v>3600.944</v>
      </c>
      <c r="H27" s="13">
        <v>231.07773642000001</v>
      </c>
      <c r="I27" s="14">
        <v>22.02</v>
      </c>
      <c r="J27" s="13">
        <v>164.89065281409654</v>
      </c>
      <c r="K27" s="14">
        <v>3600.3919999999998</v>
      </c>
      <c r="L27" s="12">
        <v>0.9282146650012888</v>
      </c>
      <c r="M27" s="12">
        <v>0.25468106177898014</v>
      </c>
      <c r="N27" s="12">
        <v>0.28642778240480898</v>
      </c>
    </row>
    <row r="34" spans="1:18" x14ac:dyDescent="0.3">
      <c r="A34" s="33" t="s">
        <v>826</v>
      </c>
      <c r="B34" s="33"/>
      <c r="C34" s="33" t="s">
        <v>827</v>
      </c>
      <c r="D34" s="33"/>
      <c r="E34" s="33"/>
      <c r="F34" s="33" t="s">
        <v>828</v>
      </c>
      <c r="G34" s="33"/>
      <c r="L34" s="16"/>
      <c r="M34" s="16"/>
      <c r="Q34" s="16"/>
    </row>
    <row r="35" spans="1:18" x14ac:dyDescent="0.3">
      <c r="A35" t="s">
        <v>816</v>
      </c>
      <c r="B35" t="s">
        <v>817</v>
      </c>
      <c r="C35" s="16" t="s">
        <v>39</v>
      </c>
      <c r="D35" s="16" t="s">
        <v>825</v>
      </c>
      <c r="E35" s="16" t="s">
        <v>815</v>
      </c>
      <c r="F35" t="s">
        <v>829</v>
      </c>
      <c r="G35" t="s">
        <v>830</v>
      </c>
      <c r="L35" s="15" t="s">
        <v>38</v>
      </c>
      <c r="M35" s="15" t="s">
        <v>37</v>
      </c>
      <c r="N35" s="16" t="s">
        <v>819</v>
      </c>
      <c r="O35" s="16" t="s">
        <v>41</v>
      </c>
      <c r="P35" s="16" t="s">
        <v>40</v>
      </c>
      <c r="Q35" t="s">
        <v>824</v>
      </c>
      <c r="R35" s="15" t="s">
        <v>823</v>
      </c>
    </row>
    <row r="36" spans="1:18" x14ac:dyDescent="0.3">
      <c r="A36" s="33" t="s">
        <v>598</v>
      </c>
      <c r="B36" t="s">
        <v>50</v>
      </c>
      <c r="C36" s="17">
        <v>19.113158371209611</v>
      </c>
      <c r="D36" s="13">
        <v>19.1131583712096</v>
      </c>
      <c r="E36" s="13">
        <v>19.120358371209612</v>
      </c>
      <c r="F36" s="12">
        <v>-3.7670383199704102E-4</v>
      </c>
      <c r="G36" s="12">
        <v>-3.7670383199704102E-4</v>
      </c>
      <c r="H36" s="12"/>
      <c r="L36" s="33" t="s">
        <v>598</v>
      </c>
      <c r="M36" s="15" t="s">
        <v>50</v>
      </c>
      <c r="N36" s="13">
        <v>32.910009879999997</v>
      </c>
      <c r="O36" s="9">
        <v>19.113158371209611</v>
      </c>
      <c r="P36" s="9">
        <v>19.120358371209612</v>
      </c>
      <c r="Q36" s="12">
        <v>0.41901085897791246</v>
      </c>
      <c r="R36" s="4">
        <f t="shared" ref="R36:R60" si="0">(O36-P36)/O36</f>
        <v>-3.7670383199704102E-4</v>
      </c>
    </row>
    <row r="37" spans="1:18" x14ac:dyDescent="0.3">
      <c r="A37" s="33"/>
      <c r="B37" t="s">
        <v>51</v>
      </c>
      <c r="C37" s="17">
        <v>22.152430125032964</v>
      </c>
      <c r="D37" s="13">
        <v>22.152430125032968</v>
      </c>
      <c r="E37" s="13">
        <v>22.152430125032968</v>
      </c>
      <c r="F37" s="12">
        <v>-1.6037579889647497E-16</v>
      </c>
      <c r="G37" s="12">
        <v>0</v>
      </c>
      <c r="H37" s="12"/>
      <c r="L37" s="33"/>
      <c r="M37" s="15" t="s">
        <v>51</v>
      </c>
      <c r="N37" s="13">
        <v>42.891180929999997</v>
      </c>
      <c r="O37" s="9">
        <v>22.152430125032968</v>
      </c>
      <c r="P37" s="9">
        <v>22.152430125032968</v>
      </c>
      <c r="Q37" s="12">
        <v>0.48352016324319541</v>
      </c>
      <c r="R37" s="4">
        <f t="shared" si="0"/>
        <v>0</v>
      </c>
    </row>
    <row r="38" spans="1:18" x14ac:dyDescent="0.3">
      <c r="A38" s="33"/>
      <c r="B38" t="s">
        <v>52</v>
      </c>
      <c r="C38" s="17">
        <v>2.3320333963418576</v>
      </c>
      <c r="D38" s="13">
        <v>2.3320333963418576</v>
      </c>
      <c r="E38" s="13">
        <v>2.3320333963418576</v>
      </c>
      <c r="F38" s="12">
        <v>0</v>
      </c>
      <c r="G38" s="12">
        <v>0</v>
      </c>
      <c r="H38" s="12"/>
      <c r="L38" s="33"/>
      <c r="M38" s="15" t="s">
        <v>52</v>
      </c>
      <c r="N38" s="13">
        <v>2.3320333999999998</v>
      </c>
      <c r="O38" s="9">
        <v>2.3320333963418576</v>
      </c>
      <c r="P38" s="9">
        <v>2.3320333963418576</v>
      </c>
      <c r="Q38" s="12">
        <v>1.5686491598172416E-9</v>
      </c>
      <c r="R38" s="4">
        <f t="shared" si="0"/>
        <v>0</v>
      </c>
    </row>
    <row r="39" spans="1:18" x14ac:dyDescent="0.3">
      <c r="A39" s="33"/>
      <c r="B39" t="s">
        <v>53</v>
      </c>
      <c r="C39" s="17">
        <v>3.968250290840007</v>
      </c>
      <c r="D39" s="13">
        <v>3.9682502908400066</v>
      </c>
      <c r="E39" s="13">
        <v>3.9682502908400066</v>
      </c>
      <c r="F39" s="12">
        <v>1.1191058459068541E-16</v>
      </c>
      <c r="G39" s="12">
        <v>0</v>
      </c>
      <c r="H39" s="12"/>
      <c r="L39" s="33"/>
      <c r="M39" s="15" t="s">
        <v>53</v>
      </c>
      <c r="N39" s="13">
        <v>4.0228502900000001</v>
      </c>
      <c r="O39" s="9">
        <v>3.968250290840007</v>
      </c>
      <c r="P39" s="9">
        <v>3.9682502908400066</v>
      </c>
      <c r="Q39" s="12">
        <v>1.3572466093435823E-2</v>
      </c>
      <c r="R39" s="4">
        <f t="shared" si="0"/>
        <v>1.1191058459068541E-16</v>
      </c>
    </row>
    <row r="40" spans="1:18" x14ac:dyDescent="0.3">
      <c r="A40" s="33"/>
      <c r="B40" t="s">
        <v>54</v>
      </c>
      <c r="C40" s="17">
        <v>3.7929994136695395</v>
      </c>
      <c r="D40" s="13">
        <v>3.7929994136695404</v>
      </c>
      <c r="E40" s="13">
        <v>3.7953994136695393</v>
      </c>
      <c r="F40" s="12">
        <v>-6.3274462720727242E-4</v>
      </c>
      <c r="G40" s="12">
        <v>-6.3274462720703812E-4</v>
      </c>
      <c r="H40" s="12"/>
      <c r="L40" s="33"/>
      <c r="M40" s="15" t="s">
        <v>54</v>
      </c>
      <c r="N40" s="13">
        <v>3.8937994100000002</v>
      </c>
      <c r="O40" s="9">
        <v>3.79299941366954</v>
      </c>
      <c r="P40" s="9">
        <v>3.7953994136695393</v>
      </c>
      <c r="Q40" s="12">
        <v>2.5270946438008968E-2</v>
      </c>
      <c r="R40" s="4">
        <f t="shared" si="0"/>
        <v>-6.3274462720715532E-4</v>
      </c>
    </row>
    <row r="41" spans="1:18" x14ac:dyDescent="0.3">
      <c r="A41" s="33" t="s">
        <v>599</v>
      </c>
      <c r="B41" t="s">
        <v>55</v>
      </c>
      <c r="C41" s="17">
        <v>39.75575014615066</v>
      </c>
      <c r="D41" s="13">
        <v>39.761758749796655</v>
      </c>
      <c r="E41" s="13">
        <v>40.118458749796645</v>
      </c>
      <c r="F41" s="12">
        <v>-9.1234249715472539E-3</v>
      </c>
      <c r="G41" s="12">
        <v>-8.9709311462942663E-3</v>
      </c>
      <c r="H41" s="12"/>
      <c r="L41" s="33" t="s">
        <v>599</v>
      </c>
      <c r="M41" s="15" t="s">
        <v>55</v>
      </c>
      <c r="N41" s="13">
        <v>55.931089980000003</v>
      </c>
      <c r="O41" s="9">
        <v>39.833758749796658</v>
      </c>
      <c r="P41" s="9">
        <v>40.118458749796645</v>
      </c>
      <c r="Q41" s="12">
        <v>0.28271630743934517</v>
      </c>
      <c r="R41" s="4">
        <f t="shared" si="0"/>
        <v>-7.1472040032235212E-3</v>
      </c>
    </row>
    <row r="42" spans="1:18" x14ac:dyDescent="0.3">
      <c r="A42" s="33"/>
      <c r="B42" t="s">
        <v>56</v>
      </c>
      <c r="C42" s="17">
        <v>41.555424227173049</v>
      </c>
      <c r="D42" s="13">
        <v>41.555424227173049</v>
      </c>
      <c r="E42" s="13">
        <v>41.898026514197895</v>
      </c>
      <c r="F42" s="12">
        <v>-8.2444661171529737E-3</v>
      </c>
      <c r="G42" s="12">
        <v>-8.2444661171529737E-3</v>
      </c>
      <c r="H42" s="12"/>
      <c r="L42" s="33"/>
      <c r="M42" s="15" t="s">
        <v>56</v>
      </c>
      <c r="N42" s="13">
        <v>57.656505899999999</v>
      </c>
      <c r="O42" s="9">
        <v>41.767224227173052</v>
      </c>
      <c r="P42" s="9">
        <v>41.898026514197895</v>
      </c>
      <c r="Q42" s="12">
        <v>0.273316586564121</v>
      </c>
      <c r="R42" s="4">
        <f t="shared" si="0"/>
        <v>-3.1316969093613941E-3</v>
      </c>
    </row>
    <row r="43" spans="1:18" x14ac:dyDescent="0.3">
      <c r="A43" s="33"/>
      <c r="B43" t="s">
        <v>57</v>
      </c>
      <c r="C43" s="17">
        <v>19.740402093227388</v>
      </c>
      <c r="D43" s="13">
        <v>19.740402093227388</v>
      </c>
      <c r="E43" s="13">
        <v>19.868326224054695</v>
      </c>
      <c r="F43" s="12">
        <v>-6.4803204222063527E-3</v>
      </c>
      <c r="G43" s="12">
        <v>-6.4803204222063527E-3</v>
      </c>
      <c r="H43" s="12"/>
      <c r="L43" s="33"/>
      <c r="M43" s="15" t="s">
        <v>57</v>
      </c>
      <c r="N43" s="13">
        <v>20.29128236</v>
      </c>
      <c r="O43" s="9">
        <v>19.858726224054692</v>
      </c>
      <c r="P43" s="9">
        <v>19.868326224054695</v>
      </c>
      <c r="Q43" s="12">
        <v>2.0844228986684199E-2</v>
      </c>
      <c r="R43" s="4">
        <f t="shared" si="0"/>
        <v>-4.8341469093692946E-4</v>
      </c>
    </row>
    <row r="44" spans="1:18" x14ac:dyDescent="0.3">
      <c r="A44" s="33"/>
      <c r="B44" t="s">
        <v>58</v>
      </c>
      <c r="C44" s="17">
        <v>22.758820843048195</v>
      </c>
      <c r="D44" s="13">
        <v>22.758820843048206</v>
      </c>
      <c r="E44" s="13">
        <v>23.117820147610626</v>
      </c>
      <c r="F44" s="12">
        <v>-1.5774073140177182E-2</v>
      </c>
      <c r="G44" s="12">
        <v>-1.5774073140176707E-2</v>
      </c>
      <c r="H44" s="12"/>
      <c r="L44" s="33"/>
      <c r="M44" s="15" t="s">
        <v>58</v>
      </c>
      <c r="N44" s="13">
        <v>28.936699690000001</v>
      </c>
      <c r="O44" s="9">
        <v>23.115855568532133</v>
      </c>
      <c r="P44" s="9">
        <v>23.117820147610626</v>
      </c>
      <c r="Q44" s="12">
        <v>0.20108995167822385</v>
      </c>
      <c r="R44" s="4">
        <f t="shared" si="0"/>
        <v>-8.4988378330551288E-5</v>
      </c>
    </row>
    <row r="45" spans="1:18" x14ac:dyDescent="0.3">
      <c r="A45" s="33"/>
      <c r="B45" t="s">
        <v>59</v>
      </c>
      <c r="C45" s="17">
        <v>34.061136441961978</v>
      </c>
      <c r="D45" s="13">
        <v>34.061136441961978</v>
      </c>
      <c r="E45" s="13">
        <v>34.23259926627064</v>
      </c>
      <c r="F45" s="12">
        <v>-5.0339725041418986E-3</v>
      </c>
      <c r="G45" s="12">
        <v>-5.0339725041418986E-3</v>
      </c>
      <c r="H45" s="12"/>
      <c r="L45" s="33"/>
      <c r="M45" s="15" t="s">
        <v>59</v>
      </c>
      <c r="N45" s="13">
        <v>47.283948359999997</v>
      </c>
      <c r="O45" s="9">
        <v>34.167917464225027</v>
      </c>
      <c r="P45" s="9">
        <v>34.23259926627064</v>
      </c>
      <c r="Q45" s="12">
        <v>0.27602071202603262</v>
      </c>
      <c r="R45" s="4">
        <f t="shared" si="0"/>
        <v>-1.8930566111714712E-3</v>
      </c>
    </row>
    <row r="46" spans="1:18" x14ac:dyDescent="0.3">
      <c r="A46" s="33" t="s">
        <v>593</v>
      </c>
      <c r="B46" t="s">
        <v>60</v>
      </c>
      <c r="C46" s="13">
        <v>1014.7879161034551</v>
      </c>
      <c r="D46" s="13">
        <v>119.85564640508085</v>
      </c>
      <c r="E46" s="13">
        <v>87.71120226777964</v>
      </c>
      <c r="F46" s="12">
        <v>0.91356696224313561</v>
      </c>
      <c r="G46" s="12">
        <v>0.26819298966242577</v>
      </c>
      <c r="H46" s="12"/>
      <c r="L46" s="33" t="s">
        <v>593</v>
      </c>
      <c r="M46" s="15" t="s">
        <v>60</v>
      </c>
      <c r="N46" s="13">
        <v>122.67071694000001</v>
      </c>
      <c r="O46" s="9">
        <v>87.977597793632953</v>
      </c>
      <c r="P46" s="9">
        <v>87.71120226777964</v>
      </c>
      <c r="Q46" s="12">
        <v>0.28498663368307825</v>
      </c>
      <c r="R46" s="4">
        <f t="shared" si="0"/>
        <v>3.0279927223995145E-3</v>
      </c>
    </row>
    <row r="47" spans="1:18" x14ac:dyDescent="0.3">
      <c r="A47" s="33"/>
      <c r="B47" t="s">
        <v>61</v>
      </c>
      <c r="C47" s="13">
        <v>95.557259588525312</v>
      </c>
      <c r="D47" s="13">
        <v>79.130001975071039</v>
      </c>
      <c r="E47" s="13">
        <v>75.236867826458607</v>
      </c>
      <c r="F47" s="12">
        <v>0.21265147043319788</v>
      </c>
      <c r="G47" s="12">
        <v>4.9199217129287043E-2</v>
      </c>
      <c r="H47" s="12"/>
      <c r="L47" s="33"/>
      <c r="M47" s="15" t="s">
        <v>61</v>
      </c>
      <c r="N47" s="13">
        <v>114.29318171</v>
      </c>
      <c r="O47" s="9">
        <v>75.04042152786279</v>
      </c>
      <c r="P47" s="9">
        <v>75.236867826458607</v>
      </c>
      <c r="Q47" s="12">
        <v>0.34172041848165813</v>
      </c>
      <c r="R47" s="4">
        <f t="shared" si="0"/>
        <v>-2.6178730688882815E-3</v>
      </c>
    </row>
    <row r="48" spans="1:18" x14ac:dyDescent="0.3">
      <c r="A48" s="33"/>
      <c r="B48" t="s">
        <v>62</v>
      </c>
      <c r="C48" s="13">
        <v>600.59706196367097</v>
      </c>
      <c r="D48" s="13">
        <v>114.59645245371252</v>
      </c>
      <c r="E48" s="13">
        <v>78.281067711821493</v>
      </c>
      <c r="F48" s="12">
        <v>0.8696612543260217</v>
      </c>
      <c r="G48" s="12">
        <v>0.31689798387571755</v>
      </c>
      <c r="H48" s="12"/>
      <c r="L48" s="33"/>
      <c r="M48" s="15" t="s">
        <v>62</v>
      </c>
      <c r="N48" s="13">
        <v>116.93704515</v>
      </c>
      <c r="O48" s="9">
        <v>85.580124037721163</v>
      </c>
      <c r="P48" s="9">
        <v>78.281067711821493</v>
      </c>
      <c r="Q48" s="12">
        <v>0.33057084167461975</v>
      </c>
      <c r="R48" s="4">
        <f t="shared" si="0"/>
        <v>8.5289153386625891E-2</v>
      </c>
    </row>
    <row r="49" spans="1:18" x14ac:dyDescent="0.3">
      <c r="A49" s="33"/>
      <c r="B49" t="s">
        <v>63</v>
      </c>
      <c r="C49" s="13">
        <v>79.090030546070395</v>
      </c>
      <c r="D49" s="13">
        <v>110.35665208980406</v>
      </c>
      <c r="E49" s="13">
        <v>79.823886337707364</v>
      </c>
      <c r="F49" s="12">
        <v>-9.2787395145775588E-3</v>
      </c>
      <c r="G49" s="12">
        <v>0.2766735414123499</v>
      </c>
      <c r="H49" s="12"/>
      <c r="L49" s="33"/>
      <c r="M49" s="15" t="s">
        <v>63</v>
      </c>
      <c r="N49" s="13">
        <v>126.72051441000001</v>
      </c>
      <c r="O49" s="9">
        <v>82.049848009066338</v>
      </c>
      <c r="P49" s="9">
        <v>79.823886337707364</v>
      </c>
      <c r="Q49" s="12">
        <v>0.37007921164650709</v>
      </c>
      <c r="R49" s="4">
        <f t="shared" si="0"/>
        <v>2.7129382020464065E-2</v>
      </c>
    </row>
    <row r="50" spans="1:18" x14ac:dyDescent="0.3">
      <c r="A50" s="33"/>
      <c r="B50" t="s">
        <v>64</v>
      </c>
      <c r="C50" s="17">
        <v>62.581996299609401</v>
      </c>
      <c r="D50" s="13">
        <v>67.93833028370095</v>
      </c>
      <c r="E50" s="13">
        <v>63.492378102066596</v>
      </c>
      <c r="F50" s="12">
        <v>-1.4547024005094479E-2</v>
      </c>
      <c r="G50" s="12">
        <v>6.5440998668478911E-2</v>
      </c>
      <c r="H50" s="12"/>
      <c r="L50" s="33"/>
      <c r="M50" s="15" t="s">
        <v>64</v>
      </c>
      <c r="N50" s="13">
        <v>92.74421117</v>
      </c>
      <c r="O50" s="9">
        <v>74.560326357414041</v>
      </c>
      <c r="P50" s="9">
        <v>63.492378102066596</v>
      </c>
      <c r="Q50" s="12">
        <v>0.3154033302878046</v>
      </c>
      <c r="R50" s="4">
        <f t="shared" si="0"/>
        <v>0.14844286225749445</v>
      </c>
    </row>
    <row r="51" spans="1:18" x14ac:dyDescent="0.3">
      <c r="A51" s="33" t="s">
        <v>592</v>
      </c>
      <c r="B51" t="s">
        <v>65</v>
      </c>
      <c r="C51" s="13">
        <v>1779.0503180665351</v>
      </c>
      <c r="D51" s="13">
        <v>139.8957524937764</v>
      </c>
      <c r="E51" s="13">
        <v>96.057852332269405</v>
      </c>
      <c r="F51" s="12">
        <v>0.94600610710288124</v>
      </c>
      <c r="G51" s="12">
        <v>0.31336119489015385</v>
      </c>
      <c r="H51" s="12"/>
      <c r="L51" s="33" t="s">
        <v>592</v>
      </c>
      <c r="M51" s="15" t="s">
        <v>65</v>
      </c>
      <c r="N51" s="13">
        <v>143.50523222999999</v>
      </c>
      <c r="O51" s="9">
        <v>95.2872019031946</v>
      </c>
      <c r="P51" s="9">
        <v>96.057852332269405</v>
      </c>
      <c r="Q51" s="12">
        <v>0.33063170701459371</v>
      </c>
      <c r="R51" s="4">
        <f t="shared" si="0"/>
        <v>-8.0876593465063103E-3</v>
      </c>
    </row>
    <row r="52" spans="1:18" x14ac:dyDescent="0.3">
      <c r="A52" s="33"/>
      <c r="B52" t="s">
        <v>66</v>
      </c>
      <c r="C52" s="13">
        <v>1485.9867313469467</v>
      </c>
      <c r="D52" s="13">
        <v>130.67448008437844</v>
      </c>
      <c r="E52" s="13">
        <v>103.75426744136814</v>
      </c>
      <c r="F52" s="12">
        <v>0.93017820061736234</v>
      </c>
      <c r="G52" s="12">
        <v>0.20600971685999839</v>
      </c>
      <c r="H52" s="12"/>
      <c r="L52" s="33"/>
      <c r="M52" s="15" t="s">
        <v>66</v>
      </c>
      <c r="N52" s="13">
        <v>136.68911327999999</v>
      </c>
      <c r="O52" s="9">
        <v>107.79787016615427</v>
      </c>
      <c r="P52" s="9">
        <v>103.75426744136814</v>
      </c>
      <c r="Q52" s="12">
        <v>0.24094710286960935</v>
      </c>
      <c r="R52" s="4">
        <f t="shared" si="0"/>
        <v>3.7510970472362008E-2</v>
      </c>
    </row>
    <row r="53" spans="1:18" x14ac:dyDescent="0.3">
      <c r="A53" s="33"/>
      <c r="B53" t="s">
        <v>67</v>
      </c>
      <c r="C53" s="13">
        <v>1361.0478745513392</v>
      </c>
      <c r="D53" s="13">
        <v>139.7686740833378</v>
      </c>
      <c r="E53" s="13">
        <v>96.89826578643283</v>
      </c>
      <c r="F53" s="12">
        <v>0.92880612974883436</v>
      </c>
      <c r="G53" s="12">
        <v>0.30672401078472894</v>
      </c>
      <c r="H53" s="12"/>
      <c r="L53" s="33"/>
      <c r="M53" s="15" t="s">
        <v>67</v>
      </c>
      <c r="N53" s="13">
        <v>143.75224972999999</v>
      </c>
      <c r="O53" s="9">
        <v>100.47303179399104</v>
      </c>
      <c r="P53" s="9">
        <v>96.89826578643283</v>
      </c>
      <c r="Q53" s="12">
        <v>0.32593565687889958</v>
      </c>
      <c r="R53" s="4">
        <f t="shared" si="0"/>
        <v>3.5579358398260312E-2</v>
      </c>
    </row>
    <row r="54" spans="1:18" x14ac:dyDescent="0.3">
      <c r="A54" s="33"/>
      <c r="B54" t="s">
        <v>68</v>
      </c>
      <c r="C54" s="13">
        <v>1390.0675692228908</v>
      </c>
      <c r="D54" s="13">
        <v>153.50249196774706</v>
      </c>
      <c r="E54" s="13">
        <v>99.010361511311643</v>
      </c>
      <c r="F54" s="12">
        <v>0.92877298650549567</v>
      </c>
      <c r="G54" s="12">
        <v>0.35499182949997288</v>
      </c>
      <c r="H54" s="12"/>
      <c r="L54" s="33"/>
      <c r="M54" s="15" t="s">
        <v>68</v>
      </c>
      <c r="N54" s="13">
        <v>159.07776181</v>
      </c>
      <c r="O54" s="9">
        <v>108.49097012380952</v>
      </c>
      <c r="P54" s="9">
        <v>99.010361511311643</v>
      </c>
      <c r="Q54" s="12">
        <v>0.37759772085825499</v>
      </c>
      <c r="R54" s="4">
        <f t="shared" si="0"/>
        <v>8.7386153904593505E-2</v>
      </c>
    </row>
    <row r="55" spans="1:18" x14ac:dyDescent="0.3">
      <c r="A55" s="33"/>
      <c r="B55" t="s">
        <v>69</v>
      </c>
      <c r="C55" s="13">
        <v>1279.3915889633035</v>
      </c>
      <c r="D55" s="13">
        <v>150.38724903240183</v>
      </c>
      <c r="E55" s="13">
        <v>107.9504301020327</v>
      </c>
      <c r="F55" s="12">
        <v>0.91562362060742841</v>
      </c>
      <c r="G55" s="12">
        <v>0.28218362396685548</v>
      </c>
      <c r="H55" s="12"/>
      <c r="L55" s="33"/>
      <c r="M55" s="15" t="s">
        <v>69</v>
      </c>
      <c r="N55" s="13">
        <v>155.03973479999999</v>
      </c>
      <c r="O55" s="9">
        <v>120.55877081221855</v>
      </c>
      <c r="P55" s="9">
        <v>107.9504301020327</v>
      </c>
      <c r="Q55" s="12">
        <v>0.30372410504127939</v>
      </c>
      <c r="R55" s="4">
        <f t="shared" si="0"/>
        <v>0.10458252539605363</v>
      </c>
    </row>
    <row r="56" spans="1:18" x14ac:dyDescent="0.3">
      <c r="A56" s="33" t="s">
        <v>596</v>
      </c>
      <c r="B56" t="s">
        <v>70</v>
      </c>
      <c r="C56" s="13">
        <v>1557.924887939429</v>
      </c>
      <c r="D56" s="13">
        <v>161.43302259709776</v>
      </c>
      <c r="E56" s="13">
        <v>112.44468498811091</v>
      </c>
      <c r="F56" s="12">
        <v>0.92782406529442207</v>
      </c>
      <c r="G56" s="12">
        <v>0.30345921064273973</v>
      </c>
      <c r="H56" s="12"/>
      <c r="L56" s="33" t="s">
        <v>596</v>
      </c>
      <c r="M56" s="15" t="s">
        <v>70</v>
      </c>
      <c r="N56" s="13">
        <v>168.03982887999999</v>
      </c>
      <c r="O56" s="9">
        <v>115.84930425941576</v>
      </c>
      <c r="P56" s="9">
        <v>112.44468498811091</v>
      </c>
      <c r="Q56" s="12">
        <v>0.3308450399077143</v>
      </c>
      <c r="R56" s="4">
        <f t="shared" si="0"/>
        <v>2.9388344565980759E-2</v>
      </c>
    </row>
    <row r="57" spans="1:18" x14ac:dyDescent="0.3">
      <c r="A57" s="33"/>
      <c r="B57" t="s">
        <v>71</v>
      </c>
      <c r="C57" s="13">
        <v>2042.2429125479177</v>
      </c>
      <c r="D57" s="13">
        <v>192.30465255029085</v>
      </c>
      <c r="E57" s="13">
        <v>136.135364351471</v>
      </c>
      <c r="F57" s="12">
        <v>0.93334026842985707</v>
      </c>
      <c r="G57" s="12">
        <v>0.29208491554373939</v>
      </c>
      <c r="H57" s="12"/>
      <c r="L57" s="33"/>
      <c r="M57" s="15" t="s">
        <v>71</v>
      </c>
      <c r="N57" s="13">
        <v>197.35531183000001</v>
      </c>
      <c r="O57" s="9">
        <v>140.0327761318037</v>
      </c>
      <c r="P57" s="9">
        <v>136.135364351471</v>
      </c>
      <c r="Q57" s="12">
        <v>0.31020167083854977</v>
      </c>
      <c r="R57" s="4">
        <f t="shared" si="0"/>
        <v>2.7832139646109168E-2</v>
      </c>
    </row>
    <row r="58" spans="1:18" x14ac:dyDescent="0.3">
      <c r="A58" s="33"/>
      <c r="B58" t="s">
        <v>72</v>
      </c>
      <c r="C58" s="13">
        <v>2014.4736320687407</v>
      </c>
      <c r="D58" s="13">
        <v>148.07209015376804</v>
      </c>
      <c r="E58" s="13">
        <v>112.49228066462901</v>
      </c>
      <c r="F58" s="12">
        <v>0.94415797810711155</v>
      </c>
      <c r="G58" s="12">
        <v>0.2402870753846357</v>
      </c>
      <c r="H58" s="12"/>
      <c r="L58" s="33"/>
      <c r="M58" s="15" t="s">
        <v>72</v>
      </c>
      <c r="N58" s="13">
        <v>156.32958883000001</v>
      </c>
      <c r="O58" s="9">
        <v>116.44529368534347</v>
      </c>
      <c r="P58" s="9">
        <v>112.49228066462901</v>
      </c>
      <c r="Q58" s="12">
        <v>0.28041593720969682</v>
      </c>
      <c r="R58" s="4">
        <f t="shared" si="0"/>
        <v>3.3947383321443897E-2</v>
      </c>
    </row>
    <row r="59" spans="1:18" x14ac:dyDescent="0.3">
      <c r="A59" s="33"/>
      <c r="B59" t="s">
        <v>73</v>
      </c>
      <c r="C59" s="13">
        <v>1918.4566434140004</v>
      </c>
      <c r="D59" s="13">
        <v>172.5957766878399</v>
      </c>
      <c r="E59" s="13">
        <v>128.2387680792381</v>
      </c>
      <c r="F59" s="12">
        <v>0.9331552430337805</v>
      </c>
      <c r="G59" s="12">
        <v>0.25699938584723747</v>
      </c>
      <c r="H59" s="12"/>
      <c r="L59" s="33"/>
      <c r="M59" s="15" t="s">
        <v>73</v>
      </c>
      <c r="N59" s="13">
        <v>180.29233119</v>
      </c>
      <c r="O59" s="9">
        <v>133.51281268459496</v>
      </c>
      <c r="P59" s="9">
        <v>128.2387680792381</v>
      </c>
      <c r="Q59" s="12">
        <v>0.28871756644993157</v>
      </c>
      <c r="R59" s="4">
        <f t="shared" si="0"/>
        <v>3.9502160873623744E-2</v>
      </c>
    </row>
    <row r="60" spans="1:18" x14ac:dyDescent="0.3">
      <c r="A60" s="33"/>
      <c r="B60" t="s">
        <v>74</v>
      </c>
      <c r="C60" s="13">
        <v>2296.9963547158604</v>
      </c>
      <c r="D60" s="13">
        <v>221.23502350238041</v>
      </c>
      <c r="E60" s="13">
        <v>164.89065281409654</v>
      </c>
      <c r="F60" s="12">
        <v>0.9282146650012888</v>
      </c>
      <c r="G60" s="12">
        <v>0.25468106177898014</v>
      </c>
      <c r="H60" s="12"/>
      <c r="L60" s="33"/>
      <c r="M60" s="15" t="s">
        <v>74</v>
      </c>
      <c r="N60" s="13">
        <v>231.07773642000001</v>
      </c>
      <c r="O60" s="9">
        <v>163.40759993350167</v>
      </c>
      <c r="P60" s="9">
        <v>164.89065281409654</v>
      </c>
      <c r="Q60" s="12">
        <v>0.28642778240480898</v>
      </c>
      <c r="R60" s="4">
        <f t="shared" si="0"/>
        <v>-9.0757888935300048E-3</v>
      </c>
    </row>
    <row r="64" spans="1:18" x14ac:dyDescent="0.3">
      <c r="L64" s="15"/>
      <c r="M64" s="16"/>
      <c r="Q64" s="16"/>
    </row>
    <row r="65" spans="1:18" x14ac:dyDescent="0.3">
      <c r="A65" s="33" t="s">
        <v>90</v>
      </c>
      <c r="B65" s="33"/>
      <c r="C65" s="33" t="s">
        <v>827</v>
      </c>
      <c r="D65" s="33"/>
      <c r="E65" s="33"/>
      <c r="F65" s="33" t="s">
        <v>828</v>
      </c>
      <c r="G65" s="33"/>
      <c r="L65" s="15" t="s">
        <v>38</v>
      </c>
      <c r="M65" s="15" t="s">
        <v>37</v>
      </c>
      <c r="N65" s="16" t="s">
        <v>806</v>
      </c>
      <c r="O65" s="16" t="s">
        <v>41</v>
      </c>
      <c r="P65" s="16" t="s">
        <v>40</v>
      </c>
      <c r="Q65" t="s">
        <v>824</v>
      </c>
      <c r="R65" s="15" t="s">
        <v>823</v>
      </c>
    </row>
    <row r="66" spans="1:18" x14ac:dyDescent="0.3">
      <c r="A66" t="s">
        <v>816</v>
      </c>
      <c r="B66" t="s">
        <v>817</v>
      </c>
      <c r="C66" t="s">
        <v>39</v>
      </c>
      <c r="D66" t="s">
        <v>825</v>
      </c>
      <c r="E66" t="s">
        <v>815</v>
      </c>
      <c r="F66" t="s">
        <v>829</v>
      </c>
      <c r="G66" t="s">
        <v>830</v>
      </c>
      <c r="L66" s="33" t="s">
        <v>599</v>
      </c>
      <c r="M66" s="15" t="s">
        <v>55</v>
      </c>
      <c r="N66" s="13">
        <v>323.61072381999998</v>
      </c>
      <c r="O66" s="9">
        <v>236.92127413431751</v>
      </c>
      <c r="P66" s="9">
        <v>225.10988662137976</v>
      </c>
      <c r="Q66" s="4">
        <v>0.30438063373143576</v>
      </c>
      <c r="R66" s="4">
        <f t="shared" ref="R66:R90" si="1">(O66-P66)/O66</f>
        <v>4.9853638328154266E-2</v>
      </c>
    </row>
    <row r="67" spans="1:18" x14ac:dyDescent="0.3">
      <c r="A67" t="s">
        <v>599</v>
      </c>
      <c r="B67" t="s">
        <v>55</v>
      </c>
      <c r="C67" s="9">
        <v>3871.6275880056887</v>
      </c>
      <c r="D67" s="13">
        <v>319.53606947777735</v>
      </c>
      <c r="E67" s="13">
        <v>225.10988662137976</v>
      </c>
      <c r="F67" s="4">
        <v>0.94185652377342011</v>
      </c>
      <c r="G67" s="4">
        <v>0.29551024712396234</v>
      </c>
      <c r="L67" s="33"/>
      <c r="M67" s="15" t="s">
        <v>56</v>
      </c>
      <c r="N67" s="13">
        <v>338.56669997</v>
      </c>
      <c r="O67" s="9">
        <v>241.10929739884776</v>
      </c>
      <c r="P67" s="9">
        <v>238.98936419206723</v>
      </c>
      <c r="Q67" s="4">
        <v>0.29411438214908969</v>
      </c>
      <c r="R67" s="4">
        <f t="shared" si="1"/>
        <v>8.7924158448095622E-3</v>
      </c>
    </row>
    <row r="68" spans="1:18" x14ac:dyDescent="0.3">
      <c r="B68" t="s">
        <v>56</v>
      </c>
      <c r="C68" s="9">
        <v>300.12227220326088</v>
      </c>
      <c r="D68" s="13">
        <v>331.50048436174211</v>
      </c>
      <c r="E68" s="13">
        <v>238.98936419206723</v>
      </c>
      <c r="F68" s="4">
        <v>0.20369333992577118</v>
      </c>
      <c r="G68" s="4">
        <v>0.27906782805398345</v>
      </c>
      <c r="L68" s="33"/>
      <c r="M68" s="15" t="s">
        <v>57</v>
      </c>
      <c r="N68" s="13">
        <v>165.01941228999999</v>
      </c>
      <c r="O68" s="9">
        <v>123.11756293151566</v>
      </c>
      <c r="P68" s="9">
        <v>123.24506749593867</v>
      </c>
      <c r="Q68" s="4">
        <v>0.2531480643056005</v>
      </c>
      <c r="R68" s="4">
        <f t="shared" si="1"/>
        <v>-1.0356326212689151E-3</v>
      </c>
    </row>
    <row r="69" spans="1:18" x14ac:dyDescent="0.3">
      <c r="B69" t="s">
        <v>57</v>
      </c>
      <c r="C69" s="9">
        <v>119.32010848375801</v>
      </c>
      <c r="D69" s="13">
        <v>162.12217431841853</v>
      </c>
      <c r="E69" s="13">
        <v>123.24506749593867</v>
      </c>
      <c r="F69" s="4">
        <v>-3.289436342336996E-2</v>
      </c>
      <c r="G69" s="4">
        <v>0.23980129174755999</v>
      </c>
      <c r="L69" s="33"/>
      <c r="M69" s="15" t="s">
        <v>58</v>
      </c>
      <c r="N69" s="13">
        <v>147.71197531999999</v>
      </c>
      <c r="O69" s="9">
        <v>128.742257434697</v>
      </c>
      <c r="P69" s="9">
        <v>127.98914761587699</v>
      </c>
      <c r="Q69" s="4">
        <v>0.13352219859896872</v>
      </c>
      <c r="R69" s="4">
        <f t="shared" si="1"/>
        <v>5.8497484340137018E-3</v>
      </c>
    </row>
    <row r="70" spans="1:18" x14ac:dyDescent="0.3">
      <c r="B70" t="s">
        <v>58</v>
      </c>
      <c r="C70" s="9">
        <v>123.83911959795853</v>
      </c>
      <c r="D70" s="13">
        <v>143.49692738316031</v>
      </c>
      <c r="E70" s="13">
        <v>127.98914761587699</v>
      </c>
      <c r="F70" s="4">
        <v>-3.3511446394252881E-2</v>
      </c>
      <c r="G70" s="4">
        <v>0.10807046568931063</v>
      </c>
      <c r="L70" s="33"/>
      <c r="M70" s="15" t="s">
        <v>59</v>
      </c>
      <c r="N70" s="13">
        <v>307.55923868999997</v>
      </c>
      <c r="O70" s="9">
        <v>216.38221847062465</v>
      </c>
      <c r="P70" s="9">
        <v>216.13564150369564</v>
      </c>
      <c r="Q70" s="4">
        <v>0.29725524609733306</v>
      </c>
      <c r="R70" s="4">
        <f t="shared" si="1"/>
        <v>1.1395435755849183E-3</v>
      </c>
    </row>
    <row r="71" spans="1:18" x14ac:dyDescent="0.3">
      <c r="B71" t="s">
        <v>59</v>
      </c>
      <c r="C71" s="9">
        <v>3862.8415668764387</v>
      </c>
      <c r="D71" s="13">
        <v>301.28076674069325</v>
      </c>
      <c r="E71" s="13">
        <v>216.13564150369564</v>
      </c>
      <c r="F71" s="4">
        <v>0.94404750032798601</v>
      </c>
      <c r="G71" s="4">
        <v>0.28261055678433145</v>
      </c>
      <c r="L71" s="33" t="s">
        <v>592</v>
      </c>
      <c r="M71" s="15" t="s">
        <v>65</v>
      </c>
      <c r="N71" s="13">
        <v>669.02320264000002</v>
      </c>
      <c r="O71" s="9">
        <v>617.15626248967908</v>
      </c>
      <c r="P71" s="9">
        <v>525.2524278292135</v>
      </c>
      <c r="Q71" s="4">
        <v>0.21489654505771943</v>
      </c>
      <c r="R71" s="4">
        <f t="shared" si="1"/>
        <v>0.1489150159308357</v>
      </c>
    </row>
    <row r="72" spans="1:18" x14ac:dyDescent="0.3">
      <c r="A72" t="s">
        <v>592</v>
      </c>
      <c r="B72" t="s">
        <v>65</v>
      </c>
      <c r="C72" s="18" t="str">
        <f>IFERROR((#REF!-#REF!)/#REF!,"-")</f>
        <v>-</v>
      </c>
      <c r="D72" s="13">
        <v>669.02320263829938</v>
      </c>
      <c r="E72" s="13">
        <v>525.2524278292135</v>
      </c>
      <c r="F72" s="4" t="s">
        <v>831</v>
      </c>
      <c r="G72" s="4">
        <v>0.21489654505572373</v>
      </c>
      <c r="L72" s="33"/>
      <c r="M72" s="15" t="s">
        <v>66</v>
      </c>
      <c r="N72" s="13">
        <v>875.64707764000002</v>
      </c>
      <c r="O72" s="9">
        <v>714.88367914656374</v>
      </c>
      <c r="P72" s="9">
        <v>630.57472931700363</v>
      </c>
      <c r="Q72" s="4">
        <v>0.27987571086687468</v>
      </c>
      <c r="R72" s="4">
        <f t="shared" si="1"/>
        <v>0.11793380138459601</v>
      </c>
    </row>
    <row r="73" spans="1:18" x14ac:dyDescent="0.3">
      <c r="B73" t="s">
        <v>66</v>
      </c>
      <c r="C73" s="18" t="str">
        <f t="shared" ref="C73" si="2">IFERROR((#REF!-#REF!)/#REF!,"-")</f>
        <v>-</v>
      </c>
      <c r="D73" s="13">
        <v>875.64707763803267</v>
      </c>
      <c r="E73" s="13">
        <v>630.57472931700363</v>
      </c>
      <c r="F73" s="4" t="s">
        <v>831</v>
      </c>
      <c r="G73" s="4">
        <v>0.2798757108652567</v>
      </c>
      <c r="L73" s="33"/>
      <c r="M73" s="15" t="s">
        <v>67</v>
      </c>
      <c r="N73" s="13">
        <v>615.18325637999999</v>
      </c>
      <c r="O73" s="9">
        <v>528.17197590094327</v>
      </c>
      <c r="P73" s="9">
        <v>469.27501128934068</v>
      </c>
      <c r="Q73" s="4">
        <v>0.23717850506732824</v>
      </c>
      <c r="R73" s="4">
        <f t="shared" si="1"/>
        <v>0.11151096101063963</v>
      </c>
    </row>
    <row r="74" spans="1:18" x14ac:dyDescent="0.3">
      <c r="B74" t="s">
        <v>67</v>
      </c>
      <c r="C74" s="18" t="str">
        <f t="shared" ref="C74" si="3">IFERROR((#REF!-#REF!)/#REF!,"-")</f>
        <v>-</v>
      </c>
      <c r="D74" s="13">
        <v>615.18325638420697</v>
      </c>
      <c r="E74" s="13">
        <v>469.27501128934068</v>
      </c>
      <c r="F74" s="4" t="s">
        <v>831</v>
      </c>
      <c r="G74" s="4">
        <v>0.23717850507254484</v>
      </c>
      <c r="L74" s="33"/>
      <c r="M74" s="15" t="s">
        <v>68</v>
      </c>
      <c r="N74" s="13">
        <v>872.76363796999999</v>
      </c>
      <c r="O74" s="9">
        <v>751.40585432762532</v>
      </c>
      <c r="P74" s="9">
        <v>677.61251058916673</v>
      </c>
      <c r="Q74" s="4">
        <v>0.22360134965606954</v>
      </c>
      <c r="R74" s="4">
        <f t="shared" si="1"/>
        <v>9.8207038597657073E-2</v>
      </c>
    </row>
    <row r="75" spans="1:18" x14ac:dyDescent="0.3">
      <c r="B75" t="s">
        <v>68</v>
      </c>
      <c r="C75" s="18" t="str">
        <f t="shared" ref="C75:C91" si="4">IFERROR((#REF!-#REF!)/#REF!,"-")</f>
        <v>-</v>
      </c>
      <c r="D75" s="13">
        <v>872.76363796921987</v>
      </c>
      <c r="E75" s="13">
        <v>677.61251058916673</v>
      </c>
      <c r="F75" s="4" t="s">
        <v>831</v>
      </c>
      <c r="G75" s="4">
        <v>0.22360134965537556</v>
      </c>
      <c r="L75" s="33"/>
      <c r="M75" s="15" t="s">
        <v>69</v>
      </c>
      <c r="N75" s="13">
        <v>673.31434578000005</v>
      </c>
      <c r="O75" s="9">
        <v>601.77079650144526</v>
      </c>
      <c r="P75" s="9">
        <v>533.85078008975802</v>
      </c>
      <c r="Q75" s="4">
        <v>0.20712994838789697</v>
      </c>
      <c r="R75" s="4">
        <f t="shared" si="1"/>
        <v>0.11286692010738697</v>
      </c>
    </row>
    <row r="76" spans="1:18" x14ac:dyDescent="0.3">
      <c r="B76" t="s">
        <v>69</v>
      </c>
      <c r="C76" s="18" t="str">
        <f t="shared" si="4"/>
        <v>-</v>
      </c>
      <c r="D76" s="13">
        <v>673.31434578204039</v>
      </c>
      <c r="E76" s="13">
        <v>533.85078008975802</v>
      </c>
      <c r="F76" s="4" t="s">
        <v>831</v>
      </c>
      <c r="G76" s="4">
        <v>0.20712994839029961</v>
      </c>
      <c r="L76" s="33" t="s">
        <v>594</v>
      </c>
      <c r="M76" s="15" t="s">
        <v>75</v>
      </c>
      <c r="N76" s="13">
        <v>1208.5581307499999</v>
      </c>
      <c r="O76" s="9">
        <v>1208.5581307509215</v>
      </c>
      <c r="P76" s="9">
        <v>1208.5581307509215</v>
      </c>
      <c r="Q76" s="4">
        <v>-7.6251649227624017E-13</v>
      </c>
      <c r="R76" s="4">
        <f t="shared" si="1"/>
        <v>0</v>
      </c>
    </row>
    <row r="77" spans="1:18" x14ac:dyDescent="0.3">
      <c r="A77" t="s">
        <v>594</v>
      </c>
      <c r="B77" t="s">
        <v>75</v>
      </c>
      <c r="C77" s="18" t="str">
        <f t="shared" si="4"/>
        <v>-</v>
      </c>
      <c r="D77" s="13">
        <v>1208.5581307509215</v>
      </c>
      <c r="E77" s="13">
        <v>1208.5581307509215</v>
      </c>
      <c r="F77" s="4" t="s">
        <v>831</v>
      </c>
      <c r="G77" s="4">
        <v>0</v>
      </c>
      <c r="L77" s="33"/>
      <c r="M77" s="15" t="s">
        <v>76</v>
      </c>
      <c r="N77" s="13">
        <v>1375.20956692</v>
      </c>
      <c r="O77" s="9">
        <v>1343.8725247922441</v>
      </c>
      <c r="P77" s="9">
        <v>1186.7271707572488</v>
      </c>
      <c r="Q77" s="4">
        <v>0.13705721709374627</v>
      </c>
      <c r="R77" s="4">
        <f t="shared" si="1"/>
        <v>0.11693471749434656</v>
      </c>
    </row>
    <row r="78" spans="1:18" x14ac:dyDescent="0.3">
      <c r="B78" t="s">
        <v>76</v>
      </c>
      <c r="C78" s="18" t="str">
        <f t="shared" si="4"/>
        <v>-</v>
      </c>
      <c r="D78" s="13">
        <v>1375.2095669217042</v>
      </c>
      <c r="E78" s="13">
        <v>1186.7271707572488</v>
      </c>
      <c r="F78" s="4" t="s">
        <v>831</v>
      </c>
      <c r="G78" s="4">
        <v>0.13705721709481564</v>
      </c>
      <c r="L78" s="33"/>
      <c r="M78" s="15" t="s">
        <v>77</v>
      </c>
      <c r="N78" s="13">
        <v>1203.52692695</v>
      </c>
      <c r="O78" s="9">
        <v>1179.3138144186501</v>
      </c>
      <c r="P78" s="9">
        <v>1031.6821416486048</v>
      </c>
      <c r="Q78" s="4">
        <v>0.14278432950136594</v>
      </c>
      <c r="R78" s="4">
        <f t="shared" si="1"/>
        <v>0.12518438346524519</v>
      </c>
    </row>
    <row r="79" spans="1:18" x14ac:dyDescent="0.3">
      <c r="B79" t="s">
        <v>77</v>
      </c>
      <c r="C79" s="18" t="str">
        <f t="shared" si="4"/>
        <v>-</v>
      </c>
      <c r="D79" s="13">
        <v>1203.5269269478968</v>
      </c>
      <c r="E79" s="13">
        <v>1031.6821416486048</v>
      </c>
      <c r="F79" s="4" t="s">
        <v>831</v>
      </c>
      <c r="G79" s="4">
        <v>0.14278432949986794</v>
      </c>
      <c r="L79" s="33"/>
      <c r="M79" s="15" t="s">
        <v>78</v>
      </c>
      <c r="N79" s="13">
        <v>1255.0435796500001</v>
      </c>
      <c r="O79" s="9">
        <v>1204.6246490867941</v>
      </c>
      <c r="P79" s="9">
        <v>1103.9327734666153</v>
      </c>
      <c r="Q79" s="4">
        <v>0.12040283591230012</v>
      </c>
      <c r="R79" s="4">
        <f t="shared" si="1"/>
        <v>8.3587759636590181E-2</v>
      </c>
    </row>
    <row r="80" spans="1:18" x14ac:dyDescent="0.3">
      <c r="B80" t="s">
        <v>78</v>
      </c>
      <c r="C80" s="18" t="str">
        <f t="shared" si="4"/>
        <v>-</v>
      </c>
      <c r="D80" s="13">
        <v>1255.0435796468382</v>
      </c>
      <c r="E80" s="13">
        <v>1103.9327734666153</v>
      </c>
      <c r="F80" s="4" t="s">
        <v>831</v>
      </c>
      <c r="G80" s="4">
        <v>0.12040283591008415</v>
      </c>
      <c r="L80" s="33"/>
      <c r="M80" s="15" t="s">
        <v>79</v>
      </c>
      <c r="N80" s="13">
        <v>1298.8821658300001</v>
      </c>
      <c r="O80" s="9">
        <v>1279.1086280841514</v>
      </c>
      <c r="P80" s="9">
        <v>1192.9265569658357</v>
      </c>
      <c r="Q80" s="4">
        <v>8.1574458139131917E-2</v>
      </c>
      <c r="R80" s="4">
        <f t="shared" si="1"/>
        <v>6.7376663112185514E-2</v>
      </c>
    </row>
    <row r="81" spans="1:18" x14ac:dyDescent="0.3">
      <c r="B81" t="s">
        <v>79</v>
      </c>
      <c r="C81" s="18" t="str">
        <f t="shared" si="4"/>
        <v>-</v>
      </c>
      <c r="D81" s="13">
        <v>1298.8821658264528</v>
      </c>
      <c r="E81" s="13">
        <v>1192.9265569658357</v>
      </c>
      <c r="F81" s="4" t="s">
        <v>831</v>
      </c>
      <c r="G81" s="4">
        <v>8.1574458136623687E-2</v>
      </c>
      <c r="L81" s="33" t="s">
        <v>595</v>
      </c>
      <c r="M81" s="15" t="s">
        <v>80</v>
      </c>
      <c r="N81" s="13">
        <v>1877.11863879</v>
      </c>
      <c r="O81" s="9">
        <v>1876.6927050365066</v>
      </c>
      <c r="P81" s="9">
        <v>1811.8662396472282</v>
      </c>
      <c r="Q81" s="4">
        <v>3.4762000544000665E-2</v>
      </c>
      <c r="R81" s="4">
        <f t="shared" si="1"/>
        <v>3.4542930345123998E-2</v>
      </c>
    </row>
    <row r="82" spans="1:18" x14ac:dyDescent="0.3">
      <c r="A82" t="s">
        <v>595</v>
      </c>
      <c r="B82" t="s">
        <v>80</v>
      </c>
      <c r="C82" s="18" t="str">
        <f t="shared" si="4"/>
        <v>-</v>
      </c>
      <c r="D82" s="13">
        <v>1877.1186387918679</v>
      </c>
      <c r="E82" s="13">
        <v>1811.8662396472282</v>
      </c>
      <c r="F82" s="4" t="s">
        <v>831</v>
      </c>
      <c r="G82" s="4">
        <v>3.4762000544961147E-2</v>
      </c>
      <c r="L82" s="33"/>
      <c r="M82" s="15" t="s">
        <v>81</v>
      </c>
      <c r="N82" s="13">
        <v>1767.60533108</v>
      </c>
      <c r="O82" s="9">
        <v>1758.836151631021</v>
      </c>
      <c r="P82" s="9">
        <v>1699.0113713965643</v>
      </c>
      <c r="Q82" s="4">
        <v>3.8806151168103285E-2</v>
      </c>
      <c r="R82" s="4">
        <f t="shared" si="1"/>
        <v>3.4013844995725975E-2</v>
      </c>
    </row>
    <row r="83" spans="1:18" x14ac:dyDescent="0.3">
      <c r="B83" t="s">
        <v>81</v>
      </c>
      <c r="C83" s="18" t="str">
        <f t="shared" si="4"/>
        <v>-</v>
      </c>
      <c r="D83" s="13">
        <v>1767.6053310804286</v>
      </c>
      <c r="E83" s="13">
        <v>1699.0113713965643</v>
      </c>
      <c r="F83" s="4" t="s">
        <v>831</v>
      </c>
      <c r="G83" s="4">
        <v>3.8806151168336356E-2</v>
      </c>
      <c r="L83" s="33"/>
      <c r="M83" s="15" t="s">
        <v>82</v>
      </c>
      <c r="N83" s="13">
        <v>1769.4187633500001</v>
      </c>
      <c r="O83" s="9">
        <v>1760.3597205377405</v>
      </c>
      <c r="P83" s="9">
        <v>1697.601469307665</v>
      </c>
      <c r="Q83" s="4">
        <v>4.0588070800359928E-2</v>
      </c>
      <c r="R83" s="4">
        <f t="shared" si="1"/>
        <v>3.5650810739355387E-2</v>
      </c>
    </row>
    <row r="84" spans="1:18" x14ac:dyDescent="0.3">
      <c r="B84" t="s">
        <v>82</v>
      </c>
      <c r="C84" s="18" t="str">
        <f t="shared" si="4"/>
        <v>-</v>
      </c>
      <c r="D84" s="13">
        <v>1769.4187633508227</v>
      </c>
      <c r="E84" s="13">
        <v>1697.601469307665</v>
      </c>
      <c r="F84" s="4" t="s">
        <v>831</v>
      </c>
      <c r="G84" s="4">
        <v>4.0588070800805974E-2</v>
      </c>
      <c r="L84" s="33"/>
      <c r="M84" s="15" t="s">
        <v>83</v>
      </c>
      <c r="N84" s="13">
        <v>1810.7983752</v>
      </c>
      <c r="O84" s="9">
        <v>1784.420821272503</v>
      </c>
      <c r="P84" s="9">
        <v>1617.1771751392848</v>
      </c>
      <c r="Q84" s="4">
        <v>0.10692587463766086</v>
      </c>
      <c r="R84" s="4">
        <f t="shared" si="1"/>
        <v>9.3724330124075578E-2</v>
      </c>
    </row>
    <row r="85" spans="1:18" x14ac:dyDescent="0.3">
      <c r="B85" t="s">
        <v>83</v>
      </c>
      <c r="C85" s="18" t="str">
        <f t="shared" si="4"/>
        <v>-</v>
      </c>
      <c r="D85" s="13">
        <v>1810.7983751956524</v>
      </c>
      <c r="E85" s="13">
        <v>1617.1771751392848</v>
      </c>
      <c r="F85" s="4" t="s">
        <v>831</v>
      </c>
      <c r="G85" s="4">
        <v>0.10692587463551664</v>
      </c>
      <c r="L85" s="33"/>
      <c r="M85" s="15" t="s">
        <v>84</v>
      </c>
      <c r="N85" s="13">
        <v>1916.54900888</v>
      </c>
      <c r="O85" s="9">
        <v>1910.9345525690005</v>
      </c>
      <c r="P85" s="9">
        <v>1837.4136781124437</v>
      </c>
      <c r="Q85" s="4">
        <v>4.1290533349732442E-2</v>
      </c>
      <c r="R85" s="4">
        <f t="shared" si="1"/>
        <v>3.8473779417362922E-2</v>
      </c>
    </row>
    <row r="86" spans="1:18" x14ac:dyDescent="0.3">
      <c r="B86" t="s">
        <v>84</v>
      </c>
      <c r="C86" s="18" t="str">
        <f t="shared" si="4"/>
        <v>-</v>
      </c>
      <c r="D86" s="13">
        <v>1916.5490088828678</v>
      </c>
      <c r="E86" s="13">
        <v>1837.4136781124437</v>
      </c>
      <c r="F86" s="4" t="s">
        <v>831</v>
      </c>
      <c r="G86" s="4">
        <v>4.1290533351167023E-2</v>
      </c>
      <c r="L86" s="33" t="s">
        <v>597</v>
      </c>
      <c r="M86" s="15" t="s">
        <v>85</v>
      </c>
      <c r="N86" s="13">
        <v>2628.27781671</v>
      </c>
      <c r="O86" s="9">
        <v>2624.2877471526199</v>
      </c>
      <c r="P86" s="9">
        <v>2530.4166491521605</v>
      </c>
      <c r="Q86" s="4">
        <v>3.7233951044162904E-2</v>
      </c>
      <c r="R86" s="4">
        <f t="shared" si="1"/>
        <v>3.5770123951655269E-2</v>
      </c>
    </row>
    <row r="87" spans="1:18" x14ac:dyDescent="0.3">
      <c r="A87" t="s">
        <v>597</v>
      </c>
      <c r="B87" t="s">
        <v>85</v>
      </c>
      <c r="C87" s="18" t="str">
        <f t="shared" si="4"/>
        <v>-</v>
      </c>
      <c r="D87" s="13">
        <v>2628.2778167134284</v>
      </c>
      <c r="E87" s="13">
        <v>2530.4166491521605</v>
      </c>
      <c r="F87" s="4" t="s">
        <v>831</v>
      </c>
      <c r="G87" s="4">
        <v>3.7233951045418746E-2</v>
      </c>
      <c r="L87" s="33"/>
      <c r="M87" s="15" t="s">
        <v>86</v>
      </c>
      <c r="N87" s="13">
        <v>2489.2333634299998</v>
      </c>
      <c r="O87" s="9">
        <v>2472.899430628936</v>
      </c>
      <c r="P87" s="9">
        <v>2444.015455984334</v>
      </c>
      <c r="Q87" s="4">
        <v>1.8165395060975115E-2</v>
      </c>
      <c r="R87" s="4">
        <f t="shared" si="1"/>
        <v>1.1680205950492635E-2</v>
      </c>
    </row>
    <row r="88" spans="1:18" x14ac:dyDescent="0.3">
      <c r="B88" t="s">
        <v>86</v>
      </c>
      <c r="C88" s="18" t="str">
        <f t="shared" si="4"/>
        <v>-</v>
      </c>
      <c r="D88" s="13">
        <v>2489.2333634341867</v>
      </c>
      <c r="E88" s="13">
        <v>2444.015455984334</v>
      </c>
      <c r="F88" s="4" t="s">
        <v>831</v>
      </c>
      <c r="G88" s="4">
        <v>1.8165395062626547E-2</v>
      </c>
      <c r="L88" s="33"/>
      <c r="M88" s="15" t="s">
        <v>87</v>
      </c>
      <c r="N88" s="13">
        <v>2431.4721356700002</v>
      </c>
      <c r="O88" s="9">
        <v>2421.0646034384959</v>
      </c>
      <c r="P88" s="9">
        <v>2322.5820588080342</v>
      </c>
      <c r="Q88" s="4">
        <v>4.4783600545749619E-2</v>
      </c>
      <c r="R88" s="4">
        <f t="shared" si="1"/>
        <v>4.0677371636672857E-2</v>
      </c>
    </row>
    <row r="89" spans="1:18" x14ac:dyDescent="0.3">
      <c r="B89" t="s">
        <v>87</v>
      </c>
      <c r="C89" s="18" t="str">
        <f t="shared" si="4"/>
        <v>-</v>
      </c>
      <c r="D89" s="13">
        <v>2431.472135671559</v>
      </c>
      <c r="E89" s="13">
        <v>2322.5820588080342</v>
      </c>
      <c r="F89" s="4" t="s">
        <v>831</v>
      </c>
      <c r="G89" s="4">
        <v>4.4783600546362032E-2</v>
      </c>
      <c r="L89" s="33"/>
      <c r="M89" s="15" t="s">
        <v>88</v>
      </c>
      <c r="N89" s="13">
        <v>2621.9457205600002</v>
      </c>
      <c r="O89" s="9">
        <v>2594.4888374727238</v>
      </c>
      <c r="P89" s="9">
        <v>2497.0165783656589</v>
      </c>
      <c r="Q89" s="4">
        <v>4.7647493697031466E-2</v>
      </c>
      <c r="R89" s="4">
        <f t="shared" si="1"/>
        <v>3.7568964529449307E-2</v>
      </c>
    </row>
    <row r="90" spans="1:18" x14ac:dyDescent="0.3">
      <c r="B90" t="s">
        <v>88</v>
      </c>
      <c r="C90" s="18" t="str">
        <f t="shared" si="4"/>
        <v>-</v>
      </c>
      <c r="D90" s="13">
        <v>2621.9457205559188</v>
      </c>
      <c r="E90" s="13">
        <v>2497.0165783656589</v>
      </c>
      <c r="F90" s="4" t="s">
        <v>831</v>
      </c>
      <c r="G90" s="4">
        <v>4.764749369554902E-2</v>
      </c>
      <c r="L90" s="33"/>
      <c r="M90" s="15" t="s">
        <v>89</v>
      </c>
      <c r="N90" s="13">
        <v>2537.2195221400002</v>
      </c>
      <c r="O90" s="9">
        <v>2528.6291866627716</v>
      </c>
      <c r="P90" s="9">
        <v>2337.4109040825592</v>
      </c>
      <c r="Q90" s="4">
        <v>7.8751017132689324E-2</v>
      </c>
      <c r="R90" s="4">
        <f t="shared" si="1"/>
        <v>7.5621322251910747E-2</v>
      </c>
    </row>
    <row r="91" spans="1:18" x14ac:dyDescent="0.3">
      <c r="B91" t="s">
        <v>89</v>
      </c>
      <c r="C91" s="18" t="str">
        <f t="shared" si="4"/>
        <v>-</v>
      </c>
      <c r="D91" s="13">
        <v>2537.2195221448696</v>
      </c>
      <c r="E91" s="13">
        <v>2337.4109040825592</v>
      </c>
      <c r="F91" s="4" t="s">
        <v>831</v>
      </c>
      <c r="G91" s="4">
        <v>7.8751017134457382E-2</v>
      </c>
    </row>
    <row r="97" spans="12:17" x14ac:dyDescent="0.3">
      <c r="L97" s="16"/>
      <c r="M97" s="16"/>
      <c r="O97" s="16"/>
      <c r="P97" s="16"/>
      <c r="Q97" s="16"/>
    </row>
  </sheetData>
  <mergeCells count="31">
    <mergeCell ref="A13:A17"/>
    <mergeCell ref="A18:A22"/>
    <mergeCell ref="A23:A27"/>
    <mergeCell ref="A1:B1"/>
    <mergeCell ref="C1:E1"/>
    <mergeCell ref="F1:G1"/>
    <mergeCell ref="H1:I1"/>
    <mergeCell ref="J1:K1"/>
    <mergeCell ref="A3:A7"/>
    <mergeCell ref="A8:A12"/>
    <mergeCell ref="L46:L50"/>
    <mergeCell ref="L51:L55"/>
    <mergeCell ref="L56:L60"/>
    <mergeCell ref="L36:L40"/>
    <mergeCell ref="L41:L45"/>
    <mergeCell ref="L86:L90"/>
    <mergeCell ref="L66:L70"/>
    <mergeCell ref="L71:L75"/>
    <mergeCell ref="L76:L80"/>
    <mergeCell ref="L81:L85"/>
    <mergeCell ref="F65:G65"/>
    <mergeCell ref="C65:E65"/>
    <mergeCell ref="A65:B65"/>
    <mergeCell ref="C34:E34"/>
    <mergeCell ref="F34:G34"/>
    <mergeCell ref="A36:A40"/>
    <mergeCell ref="A41:A45"/>
    <mergeCell ref="A46:A50"/>
    <mergeCell ref="A51:A55"/>
    <mergeCell ref="A56:A60"/>
    <mergeCell ref="A34:B34"/>
  </mergeCells>
  <phoneticPr fontId="2" type="noConversion"/>
  <conditionalFormatting sqref="R36:R60">
    <cfRule type="cellIs" dxfId="12" priority="2" operator="greaterThan">
      <formula>-0.0000001</formula>
    </cfRule>
  </conditionalFormatting>
  <conditionalFormatting sqref="R66:R90">
    <cfRule type="cellIs" dxfId="11" priority="1" operator="greaterThan">
      <formula>-0.0000001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B7B9-BF24-465D-84BC-BDEFA3253C9A}">
  <dimension ref="A1:AD86"/>
  <sheetViews>
    <sheetView topLeftCell="A49" zoomScaleNormal="100" workbookViewId="0">
      <selection activeCell="AB86" sqref="AB77:AB86"/>
    </sheetView>
  </sheetViews>
  <sheetFormatPr defaultRowHeight="14" x14ac:dyDescent="0.3"/>
  <cols>
    <col min="1" max="1" width="6.83203125" bestFit="1" customWidth="1"/>
    <col min="2" max="2" width="21.58203125" bestFit="1" customWidth="1"/>
    <col min="4" max="4" width="11" bestFit="1" customWidth="1"/>
    <col min="5" max="7" width="7.58203125" bestFit="1" customWidth="1"/>
    <col min="8" max="10" width="6.5" bestFit="1" customWidth="1"/>
    <col min="11" max="11" width="9.08203125" bestFit="1" customWidth="1"/>
    <col min="12" max="12" width="7.83203125" bestFit="1" customWidth="1"/>
    <col min="15" max="15" width="7.75" bestFit="1" customWidth="1"/>
    <col min="16" max="16" width="10.6640625" bestFit="1" customWidth="1"/>
    <col min="17" max="17" width="13.1640625" customWidth="1"/>
    <col min="18" max="18" width="15.5" bestFit="1" customWidth="1"/>
    <col min="19" max="19" width="11.25" bestFit="1" customWidth="1"/>
    <col min="20" max="20" width="6.5" bestFit="1" customWidth="1"/>
    <col min="24" max="24" width="21.58203125" bestFit="1" customWidth="1"/>
    <col min="26" max="28" width="12.75" bestFit="1" customWidth="1"/>
    <col min="29" max="29" width="8.4140625" bestFit="1" customWidth="1"/>
    <col min="30" max="30" width="7.08203125" bestFit="1" customWidth="1"/>
  </cols>
  <sheetData>
    <row r="1" spans="1:30" x14ac:dyDescent="0.3">
      <c r="A1" t="s">
        <v>1758</v>
      </c>
      <c r="B1" s="33" t="s">
        <v>826</v>
      </c>
      <c r="C1" s="33"/>
      <c r="D1" s="19" t="s">
        <v>1762</v>
      </c>
      <c r="E1" s="33" t="s">
        <v>827</v>
      </c>
      <c r="F1" s="33"/>
      <c r="G1" s="33"/>
      <c r="H1" s="33" t="s">
        <v>1764</v>
      </c>
      <c r="I1" s="33"/>
      <c r="J1" s="33"/>
      <c r="K1" s="33" t="s">
        <v>828</v>
      </c>
      <c r="L1" s="33"/>
      <c r="X1" s="33" t="s">
        <v>90</v>
      </c>
      <c r="Y1" s="33"/>
      <c r="Z1" s="33" t="s">
        <v>827</v>
      </c>
      <c r="AA1" s="33"/>
      <c r="AB1" s="33"/>
      <c r="AC1" s="33" t="s">
        <v>828</v>
      </c>
      <c r="AD1" s="33"/>
    </row>
    <row r="2" spans="1:30" x14ac:dyDescent="0.3">
      <c r="B2" t="s">
        <v>816</v>
      </c>
      <c r="C2" t="s">
        <v>817</v>
      </c>
      <c r="D2" t="s">
        <v>1762</v>
      </c>
      <c r="E2" s="16" t="s">
        <v>39</v>
      </c>
      <c r="F2" s="16" t="s">
        <v>819</v>
      </c>
      <c r="G2" s="16" t="s">
        <v>815</v>
      </c>
      <c r="H2" s="16" t="s">
        <v>39</v>
      </c>
      <c r="I2" s="16" t="s">
        <v>806</v>
      </c>
      <c r="J2" s="16" t="s">
        <v>40</v>
      </c>
      <c r="K2" t="s">
        <v>829</v>
      </c>
      <c r="L2" t="s">
        <v>1695</v>
      </c>
      <c r="O2" s="12" t="s">
        <v>1763</v>
      </c>
      <c r="P2" t="s">
        <v>1691</v>
      </c>
      <c r="Q2" t="s">
        <v>1692</v>
      </c>
      <c r="R2" t="s">
        <v>1757</v>
      </c>
      <c r="T2" t="s">
        <v>1693</v>
      </c>
      <c r="X2" s="19" t="s">
        <v>38</v>
      </c>
      <c r="Y2" s="19" t="s">
        <v>37</v>
      </c>
      <c r="Z2" s="16" t="s">
        <v>825</v>
      </c>
      <c r="AA2" s="16" t="s">
        <v>41</v>
      </c>
      <c r="AB2" s="16" t="s">
        <v>40</v>
      </c>
      <c r="AC2" t="s">
        <v>830</v>
      </c>
      <c r="AD2" s="19" t="s">
        <v>1760</v>
      </c>
    </row>
    <row r="3" spans="1:30" x14ac:dyDescent="0.3">
      <c r="B3" s="33" t="s">
        <v>598</v>
      </c>
      <c r="C3" t="s">
        <v>1767</v>
      </c>
      <c r="D3" s="22">
        <v>19.113199999999999</v>
      </c>
      <c r="E3" s="23">
        <v>19.113158371209611</v>
      </c>
      <c r="F3" s="24">
        <v>32.910009879999997</v>
      </c>
      <c r="G3" s="24">
        <v>19.120358371209612</v>
      </c>
      <c r="H3" s="12">
        <f t="shared" ref="H3:H52" si="0">IFERROR((E3-$D3)/E3,"-")</f>
        <v>-2.1780173417526615E-6</v>
      </c>
      <c r="I3" s="12">
        <f t="shared" ref="I3:I52" si="1">IFERROR((F3-$D3)/F3,"-")</f>
        <v>0.41922837247109324</v>
      </c>
      <c r="J3" s="12">
        <f t="shared" ref="J3:J52" si="2">IFERROR((G3-$D3)/G3,"-")</f>
        <v>3.7438478247308937E-4</v>
      </c>
      <c r="K3" s="12">
        <v>-3.7670383199704102E-4</v>
      </c>
      <c r="L3" s="12">
        <v>0.41901085897791246</v>
      </c>
      <c r="O3" s="12">
        <v>0</v>
      </c>
      <c r="P3" s="20">
        <v>19.113199999999999</v>
      </c>
      <c r="Q3">
        <f t="shared" ref="Q3:Q27" si="3">(1-O3)*E3</f>
        <v>19.113158371209611</v>
      </c>
      <c r="R3" s="12">
        <f t="shared" ref="R3:R27" si="4">(E3-P3)/E3</f>
        <v>-2.1780173417526615E-6</v>
      </c>
      <c r="T3" s="12"/>
      <c r="W3" s="24">
        <f>MIN(E3,F3)</f>
        <v>19.113158371209611</v>
      </c>
      <c r="X3" s="33" t="s">
        <v>598</v>
      </c>
      <c r="Y3" s="19" t="s">
        <v>1767</v>
      </c>
      <c r="Z3" s="13">
        <v>19.1131583712096</v>
      </c>
      <c r="AA3" s="9">
        <v>19.113158371209611</v>
      </c>
      <c r="AB3" s="9">
        <v>19.120358371209612</v>
      </c>
      <c r="AC3" s="12">
        <v>-3.7670383199704102E-4</v>
      </c>
      <c r="AD3" s="4">
        <f t="shared" ref="AD3:AD27" si="5">(AA3-AB3)/AA3</f>
        <v>-3.7670383199704102E-4</v>
      </c>
    </row>
    <row r="4" spans="1:30" x14ac:dyDescent="0.3">
      <c r="B4" s="33"/>
      <c r="C4" t="s">
        <v>1768</v>
      </c>
      <c r="D4" s="22">
        <v>22.1524</v>
      </c>
      <c r="E4" s="23">
        <v>22.152430125032964</v>
      </c>
      <c r="F4" s="24">
        <v>42.891180929999997</v>
      </c>
      <c r="G4" s="24">
        <v>22.152430125032968</v>
      </c>
      <c r="H4" s="12">
        <f t="shared" si="0"/>
        <v>1.3598974376240841E-6</v>
      </c>
      <c r="I4" s="12">
        <f t="shared" si="1"/>
        <v>0.48352086560280211</v>
      </c>
      <c r="J4" s="12">
        <f t="shared" si="2"/>
        <v>1.3598974377844599E-6</v>
      </c>
      <c r="K4" s="12">
        <v>-1.6037579889647497E-16</v>
      </c>
      <c r="L4" s="12">
        <v>0.48352016324319541</v>
      </c>
      <c r="O4" s="12">
        <v>0</v>
      </c>
      <c r="P4" s="20">
        <v>22.1524</v>
      </c>
      <c r="Q4">
        <f t="shared" si="3"/>
        <v>22.152430125032964</v>
      </c>
      <c r="R4" s="12">
        <f t="shared" si="4"/>
        <v>1.3598974376240841E-6</v>
      </c>
      <c r="T4" s="12"/>
      <c r="W4" s="24">
        <f t="shared" ref="W4:W83" si="6">MIN(E4,F4)</f>
        <v>22.152430125032964</v>
      </c>
      <c r="X4" s="33"/>
      <c r="Y4" s="19" t="s">
        <v>1768</v>
      </c>
      <c r="Z4" s="13">
        <v>22.152430125032968</v>
      </c>
      <c r="AA4" s="9">
        <v>22.152430125032968</v>
      </c>
      <c r="AB4" s="9">
        <v>22.152430125032968</v>
      </c>
      <c r="AC4" s="12">
        <v>0</v>
      </c>
      <c r="AD4" s="4">
        <f t="shared" si="5"/>
        <v>0</v>
      </c>
    </row>
    <row r="5" spans="1:30" x14ac:dyDescent="0.3">
      <c r="B5" s="33"/>
      <c r="C5" t="s">
        <v>1769</v>
      </c>
      <c r="D5" s="22">
        <v>2.3319999999999999</v>
      </c>
      <c r="E5" s="23">
        <v>2.3320333963418576</v>
      </c>
      <c r="F5" s="24">
        <v>2.3320333999999998</v>
      </c>
      <c r="G5" s="24">
        <v>2.3320333963418576</v>
      </c>
      <c r="H5" s="12">
        <f t="shared" si="0"/>
        <v>1.4320696225926614E-5</v>
      </c>
      <c r="I5" s="12">
        <f t="shared" si="1"/>
        <v>1.4322264852622282E-5</v>
      </c>
      <c r="J5" s="12">
        <f t="shared" si="2"/>
        <v>1.4320696225926614E-5</v>
      </c>
      <c r="K5" s="12">
        <v>0</v>
      </c>
      <c r="L5" s="12">
        <v>1.5686491598172416E-9</v>
      </c>
      <c r="O5" s="12">
        <v>0</v>
      </c>
      <c r="P5" s="20">
        <v>2.3319999999999999</v>
      </c>
      <c r="Q5">
        <f t="shared" si="3"/>
        <v>2.3320333963418576</v>
      </c>
      <c r="R5" s="12">
        <f t="shared" si="4"/>
        <v>1.4320696225926614E-5</v>
      </c>
      <c r="T5" s="12"/>
      <c r="W5" s="24">
        <f t="shared" si="6"/>
        <v>2.3320333963418576</v>
      </c>
      <c r="X5" s="33"/>
      <c r="Y5" s="19" t="s">
        <v>1769</v>
      </c>
      <c r="Z5" s="13">
        <v>2.3320333963418576</v>
      </c>
      <c r="AA5" s="9">
        <v>2.3320333963418576</v>
      </c>
      <c r="AB5" s="9">
        <v>2.3320333963418576</v>
      </c>
      <c r="AC5" s="12">
        <v>0</v>
      </c>
      <c r="AD5" s="4">
        <f t="shared" si="5"/>
        <v>0</v>
      </c>
    </row>
    <row r="6" spans="1:30" x14ac:dyDescent="0.3">
      <c r="B6" s="33"/>
      <c r="C6" t="s">
        <v>1770</v>
      </c>
      <c r="D6" s="22">
        <v>3.9407000000000001</v>
      </c>
      <c r="E6" s="23">
        <v>3.968250290840007</v>
      </c>
      <c r="F6" s="24">
        <v>4.0228502900000001</v>
      </c>
      <c r="G6" s="24">
        <v>3.9682502908400066</v>
      </c>
      <c r="H6" s="12">
        <f t="shared" si="0"/>
        <v>6.942679725520799E-3</v>
      </c>
      <c r="I6" s="12">
        <f t="shared" si="1"/>
        <v>2.0420916533784299E-2</v>
      </c>
      <c r="J6" s="12">
        <f t="shared" si="2"/>
        <v>6.942679725520688E-3</v>
      </c>
      <c r="K6" s="12">
        <v>1.1191058459068541E-16</v>
      </c>
      <c r="L6" s="12">
        <v>1.3572466093435823E-2</v>
      </c>
      <c r="O6" s="12">
        <v>0</v>
      </c>
      <c r="P6" s="20">
        <v>3.9407000000000001</v>
      </c>
      <c r="Q6">
        <f t="shared" si="3"/>
        <v>3.968250290840007</v>
      </c>
      <c r="R6" s="12">
        <f t="shared" si="4"/>
        <v>6.942679725520799E-3</v>
      </c>
      <c r="T6" s="12"/>
      <c r="W6" s="24">
        <f t="shared" si="6"/>
        <v>3.968250290840007</v>
      </c>
      <c r="X6" s="33"/>
      <c r="Y6" s="19" t="s">
        <v>1770</v>
      </c>
      <c r="Z6" s="13">
        <v>3.9682502908400066</v>
      </c>
      <c r="AA6" s="9">
        <v>3.968250290840007</v>
      </c>
      <c r="AB6" s="9">
        <v>3.9682502908400066</v>
      </c>
      <c r="AC6" s="12">
        <v>0</v>
      </c>
      <c r="AD6" s="4">
        <f t="shared" si="5"/>
        <v>1.1191058459068541E-16</v>
      </c>
    </row>
    <row r="7" spans="1:30" x14ac:dyDescent="0.3">
      <c r="B7" s="33"/>
      <c r="C7" t="s">
        <v>1771</v>
      </c>
      <c r="D7" s="22">
        <v>3.7930000000000001</v>
      </c>
      <c r="E7" s="23">
        <v>3.7929994136695395</v>
      </c>
      <c r="F7" s="24">
        <v>3.8937994100000002</v>
      </c>
      <c r="G7" s="24">
        <v>3.7953994136695393</v>
      </c>
      <c r="H7" s="12">
        <f t="shared" si="0"/>
        <v>-1.5458227030430852E-7</v>
      </c>
      <c r="I7" s="12">
        <f t="shared" si="1"/>
        <v>2.5887160427711921E-2</v>
      </c>
      <c r="J7" s="12">
        <f t="shared" si="2"/>
        <v>6.3219003009205334E-4</v>
      </c>
      <c r="K7" s="12">
        <v>-6.3274462720727242E-4</v>
      </c>
      <c r="L7" s="12">
        <v>2.5270946438008968E-2</v>
      </c>
      <c r="O7" s="12">
        <v>0</v>
      </c>
      <c r="P7" s="20">
        <v>3.7930000000000001</v>
      </c>
      <c r="Q7">
        <f t="shared" si="3"/>
        <v>3.7929994136695395</v>
      </c>
      <c r="R7" s="12">
        <f t="shared" si="4"/>
        <v>-1.5458227030430852E-7</v>
      </c>
      <c r="T7" s="12"/>
      <c r="W7" s="24">
        <f t="shared" si="6"/>
        <v>3.7929994136695395</v>
      </c>
      <c r="X7" s="33"/>
      <c r="Y7" s="19" t="s">
        <v>1771</v>
      </c>
      <c r="Z7" s="13">
        <v>3.7929994136695404</v>
      </c>
      <c r="AA7" s="9">
        <v>3.79299941366954</v>
      </c>
      <c r="AB7" s="9">
        <v>3.7953994136695393</v>
      </c>
      <c r="AC7" s="12">
        <v>-6.3274462720703812E-4</v>
      </c>
      <c r="AD7" s="4">
        <f t="shared" si="5"/>
        <v>-6.3274462720715532E-4</v>
      </c>
    </row>
    <row r="8" spans="1:30" x14ac:dyDescent="0.3">
      <c r="B8" s="33" t="s">
        <v>599</v>
      </c>
      <c r="C8" t="s">
        <v>1772</v>
      </c>
      <c r="D8" s="22">
        <v>39.719499999999996</v>
      </c>
      <c r="E8" s="23">
        <v>39.75575014615066</v>
      </c>
      <c r="F8" s="24">
        <v>55.931089980000003</v>
      </c>
      <c r="G8" s="24">
        <v>40.118458749796645</v>
      </c>
      <c r="H8" s="12">
        <f t="shared" si="0"/>
        <v>9.1182146022652317E-4</v>
      </c>
      <c r="I8" s="12">
        <f t="shared" si="1"/>
        <v>0.28984934829263997</v>
      </c>
      <c r="J8" s="12">
        <f t="shared" si="2"/>
        <v>9.9445183645962103E-3</v>
      </c>
      <c r="K8" s="12">
        <v>-9.1234249715472539E-3</v>
      </c>
      <c r="L8" s="12">
        <v>0.28271630743934517</v>
      </c>
      <c r="O8" s="12">
        <v>9.0671677550743519E-4</v>
      </c>
      <c r="P8" s="20">
        <v>39.719499999999996</v>
      </c>
      <c r="Q8">
        <f t="shared" si="3"/>
        <v>39.719702940570265</v>
      </c>
      <c r="R8" s="12">
        <f t="shared" si="4"/>
        <v>9.1182146022652317E-4</v>
      </c>
      <c r="T8" s="12"/>
      <c r="W8" s="24">
        <f t="shared" si="6"/>
        <v>39.75575014615066</v>
      </c>
      <c r="X8" s="33" t="s">
        <v>599</v>
      </c>
      <c r="Y8" s="19" t="s">
        <v>1772</v>
      </c>
      <c r="Z8" s="13">
        <v>39.761758749796655</v>
      </c>
      <c r="AA8" s="9">
        <v>39.833758749796658</v>
      </c>
      <c r="AB8" s="9">
        <v>40.118458749796645</v>
      </c>
      <c r="AC8" s="12">
        <v>-8.9709311462942663E-3</v>
      </c>
      <c r="AD8" s="4">
        <f t="shared" si="5"/>
        <v>-7.1472040032235212E-3</v>
      </c>
    </row>
    <row r="9" spans="1:30" x14ac:dyDescent="0.3">
      <c r="B9" s="33"/>
      <c r="C9" t="s">
        <v>1773</v>
      </c>
      <c r="D9" s="22">
        <v>41.549799999999998</v>
      </c>
      <c r="E9" s="23">
        <v>41.555424227173049</v>
      </c>
      <c r="F9" s="24">
        <v>57.656505899999999</v>
      </c>
      <c r="G9" s="24">
        <v>41.898026514197895</v>
      </c>
      <c r="H9" s="12">
        <f t="shared" si="0"/>
        <v>1.3534279285190004E-4</v>
      </c>
      <c r="I9" s="12">
        <f t="shared" si="1"/>
        <v>0.2793562608170469</v>
      </c>
      <c r="J9" s="12">
        <f t="shared" si="2"/>
        <v>8.3112867876937897E-3</v>
      </c>
      <c r="K9" s="12">
        <v>-8.2444661171529737E-3</v>
      </c>
      <c r="L9" s="12">
        <v>0.273316586564121</v>
      </c>
      <c r="O9" s="12">
        <v>8.2186408665249551E-5</v>
      </c>
      <c r="P9" s="20">
        <v>41.549799999999998</v>
      </c>
      <c r="Q9">
        <f t="shared" si="3"/>
        <v>41.552008936095255</v>
      </c>
      <c r="R9" s="12">
        <f t="shared" si="4"/>
        <v>1.3534279285190004E-4</v>
      </c>
      <c r="T9" s="12"/>
      <c r="W9" s="24">
        <f t="shared" si="6"/>
        <v>41.555424227173049</v>
      </c>
      <c r="X9" s="33"/>
      <c r="Y9" s="19" t="s">
        <v>1773</v>
      </c>
      <c r="Z9" s="13">
        <v>41.555424227173049</v>
      </c>
      <c r="AA9" s="9">
        <v>41.767224227173052</v>
      </c>
      <c r="AB9" s="9">
        <v>41.898026514197895</v>
      </c>
      <c r="AC9" s="12">
        <v>-8.2444661171529737E-3</v>
      </c>
      <c r="AD9" s="4">
        <f t="shared" si="5"/>
        <v>-3.1316969093613941E-3</v>
      </c>
    </row>
    <row r="10" spans="1:30" x14ac:dyDescent="0.3">
      <c r="B10" s="33"/>
      <c r="C10" t="s">
        <v>1774</v>
      </c>
      <c r="D10" s="22">
        <v>19.729399999999998</v>
      </c>
      <c r="E10" s="23">
        <v>19.740402093227388</v>
      </c>
      <c r="F10" s="24">
        <v>20.29128236</v>
      </c>
      <c r="G10" s="24">
        <v>19.868326224054695</v>
      </c>
      <c r="H10" s="12">
        <f t="shared" si="0"/>
        <v>5.5733886145938256E-4</v>
      </c>
      <c r="I10" s="12">
        <f t="shared" si="1"/>
        <v>2.7690825549184363E-2</v>
      </c>
      <c r="J10" s="12">
        <f t="shared" si="2"/>
        <v>6.9923466369551284E-3</v>
      </c>
      <c r="K10" s="12">
        <v>-6.4803204222063527E-3</v>
      </c>
      <c r="L10" s="12">
        <v>2.0844228986684199E-2</v>
      </c>
      <c r="O10" s="12">
        <v>0</v>
      </c>
      <c r="P10" s="20">
        <v>19.729399999999998</v>
      </c>
      <c r="Q10">
        <f t="shared" si="3"/>
        <v>19.740402093227388</v>
      </c>
      <c r="R10" s="12">
        <f t="shared" si="4"/>
        <v>5.5733886145938256E-4</v>
      </c>
      <c r="T10" s="12"/>
      <c r="W10" s="24">
        <f t="shared" si="6"/>
        <v>19.740402093227388</v>
      </c>
      <c r="X10" s="33"/>
      <c r="Y10" s="19" t="s">
        <v>1774</v>
      </c>
      <c r="Z10" s="13">
        <v>19.740402093227388</v>
      </c>
      <c r="AA10" s="9">
        <v>19.858726224054692</v>
      </c>
      <c r="AB10" s="9">
        <v>19.868326224054695</v>
      </c>
      <c r="AC10" s="12">
        <v>-6.4803204222063527E-3</v>
      </c>
      <c r="AD10" s="4">
        <f t="shared" si="5"/>
        <v>-4.8341469093692946E-4</v>
      </c>
    </row>
    <row r="11" spans="1:30" x14ac:dyDescent="0.3">
      <c r="B11" s="33"/>
      <c r="C11" t="s">
        <v>1775</v>
      </c>
      <c r="D11" s="22">
        <v>22.646599999999999</v>
      </c>
      <c r="E11" s="23">
        <v>22.758820843048195</v>
      </c>
      <c r="F11" s="24">
        <v>28.936699690000001</v>
      </c>
      <c r="G11" s="24">
        <v>23.117820147610626</v>
      </c>
      <c r="H11" s="12">
        <f t="shared" si="0"/>
        <v>4.9308724657619474E-3</v>
      </c>
      <c r="I11" s="12">
        <f t="shared" si="1"/>
        <v>0.21737446762713394</v>
      </c>
      <c r="J11" s="12">
        <f t="shared" si="2"/>
        <v>2.0383416109383056E-2</v>
      </c>
      <c r="K11" s="12">
        <v>-1.5774073140177182E-2</v>
      </c>
      <c r="L11" s="12">
        <v>0.20108995167822385</v>
      </c>
      <c r="O11" s="12">
        <v>4.9312486298519831E-3</v>
      </c>
      <c r="P11" s="20">
        <v>22.646599999999999</v>
      </c>
      <c r="Q11">
        <f t="shared" si="3"/>
        <v>22.646591438948867</v>
      </c>
      <c r="R11" s="12">
        <f t="shared" si="4"/>
        <v>4.9308724657619474E-3</v>
      </c>
      <c r="T11" s="12"/>
      <c r="W11" s="24">
        <f t="shared" si="6"/>
        <v>22.758820843048195</v>
      </c>
      <c r="X11" s="33"/>
      <c r="Y11" s="19" t="s">
        <v>1775</v>
      </c>
      <c r="Z11" s="13">
        <v>22.758820843048206</v>
      </c>
      <c r="AA11" s="9">
        <v>23.115855568532133</v>
      </c>
      <c r="AB11" s="9">
        <v>23.117820147610626</v>
      </c>
      <c r="AC11" s="12">
        <v>-1.5774073140176707E-2</v>
      </c>
      <c r="AD11" s="4">
        <f t="shared" si="5"/>
        <v>-8.4988378330551288E-5</v>
      </c>
    </row>
    <row r="12" spans="1:30" x14ac:dyDescent="0.3">
      <c r="B12" s="33"/>
      <c r="C12" t="s">
        <v>1776</v>
      </c>
      <c r="D12" s="22">
        <v>33.917400000000001</v>
      </c>
      <c r="E12" s="23">
        <v>34.061136441961978</v>
      </c>
      <c r="F12" s="24">
        <v>47.283948359999997</v>
      </c>
      <c r="G12" s="24">
        <v>34.23259926627064</v>
      </c>
      <c r="H12" s="12">
        <f t="shared" si="0"/>
        <v>4.2199543813488047E-3</v>
      </c>
      <c r="I12" s="12">
        <f t="shared" si="1"/>
        <v>0.28268680648732519</v>
      </c>
      <c r="J12" s="12">
        <f t="shared" si="2"/>
        <v>9.2075762000697614E-3</v>
      </c>
      <c r="K12" s="12">
        <v>-5.0339725041418986E-3</v>
      </c>
      <c r="L12" s="12">
        <v>0.27602071202603262</v>
      </c>
      <c r="O12" s="12">
        <v>4.2144084673436605E-3</v>
      </c>
      <c r="P12" s="20">
        <v>33.917400000000001</v>
      </c>
      <c r="Q12">
        <f t="shared" si="3"/>
        <v>33.917588900133623</v>
      </c>
      <c r="R12" s="12">
        <f t="shared" si="4"/>
        <v>4.2199543813488047E-3</v>
      </c>
      <c r="T12" s="12"/>
      <c r="W12" s="24">
        <f t="shared" si="6"/>
        <v>34.061136441961978</v>
      </c>
      <c r="X12" s="33"/>
      <c r="Y12" s="19" t="s">
        <v>1776</v>
      </c>
      <c r="Z12" s="13">
        <v>34.061136441961978</v>
      </c>
      <c r="AA12" s="9">
        <v>34.167917464225027</v>
      </c>
      <c r="AB12" s="9">
        <v>34.23259926627064</v>
      </c>
      <c r="AC12" s="12">
        <v>-5.0339725041418986E-3</v>
      </c>
      <c r="AD12" s="4">
        <f t="shared" si="5"/>
        <v>-1.8930566111714712E-3</v>
      </c>
    </row>
    <row r="13" spans="1:30" x14ac:dyDescent="0.3">
      <c r="B13" s="33" t="s">
        <v>593</v>
      </c>
      <c r="C13" t="s">
        <v>1777</v>
      </c>
      <c r="D13" s="22">
        <v>62</v>
      </c>
      <c r="E13" s="24">
        <v>1014.7879161034551</v>
      </c>
      <c r="F13" s="24">
        <v>122.67071694000001</v>
      </c>
      <c r="G13" s="24">
        <v>87.71120226777964</v>
      </c>
      <c r="H13" s="12">
        <f t="shared" si="0"/>
        <v>0.93890349006315987</v>
      </c>
      <c r="I13" s="12">
        <f t="shared" si="1"/>
        <v>0.49458190555513681</v>
      </c>
      <c r="J13" s="12">
        <f t="shared" si="2"/>
        <v>0.2931347604754535</v>
      </c>
      <c r="K13" s="12">
        <v>0.91356696224313561</v>
      </c>
      <c r="L13" s="12">
        <v>0.28498663368307825</v>
      </c>
      <c r="O13" s="12">
        <v>0.93890347617094894</v>
      </c>
      <c r="P13" s="20">
        <v>62</v>
      </c>
      <c r="Q13">
        <f t="shared" si="3"/>
        <v>62.000014097647821</v>
      </c>
      <c r="R13" s="12">
        <f t="shared" si="4"/>
        <v>0.93890349006315987</v>
      </c>
      <c r="T13" s="12"/>
      <c r="W13" s="24">
        <f t="shared" si="6"/>
        <v>122.67071694000001</v>
      </c>
      <c r="X13" s="33" t="s">
        <v>593</v>
      </c>
      <c r="Y13" s="19" t="s">
        <v>1777</v>
      </c>
      <c r="Z13" s="13">
        <v>119.85564640508085</v>
      </c>
      <c r="AA13" s="9">
        <v>87.977597793632953</v>
      </c>
      <c r="AB13" s="9">
        <v>87.71120226777964</v>
      </c>
      <c r="AC13" s="12">
        <v>0.26819298966242577</v>
      </c>
      <c r="AD13" s="4">
        <f t="shared" si="5"/>
        <v>3.0279927223995145E-3</v>
      </c>
    </row>
    <row r="14" spans="1:30" x14ac:dyDescent="0.3">
      <c r="B14" s="33"/>
      <c r="C14" t="s">
        <v>1778</v>
      </c>
      <c r="D14" s="22">
        <v>58.265500000000003</v>
      </c>
      <c r="E14" s="24">
        <v>95.557259588525312</v>
      </c>
      <c r="F14" s="24">
        <v>114.29318171</v>
      </c>
      <c r="G14" s="24">
        <v>75.236867826458607</v>
      </c>
      <c r="H14" s="12">
        <f t="shared" si="0"/>
        <v>0.39025564095397491</v>
      </c>
      <c r="I14" s="12">
        <f t="shared" si="1"/>
        <v>0.490210184647418</v>
      </c>
      <c r="J14" s="12">
        <f t="shared" si="2"/>
        <v>0.22557249280505362</v>
      </c>
      <c r="K14" s="12">
        <v>0.21265147043319788</v>
      </c>
      <c r="L14" s="12">
        <v>0.34172041848165813</v>
      </c>
      <c r="O14" s="12">
        <v>0.39025520404839698</v>
      </c>
      <c r="P14" s="20">
        <v>58.265500000000003</v>
      </c>
      <c r="Q14">
        <f t="shared" si="3"/>
        <v>58.265541749499725</v>
      </c>
      <c r="R14" s="12">
        <f t="shared" si="4"/>
        <v>0.39025564095397491</v>
      </c>
      <c r="T14" s="12"/>
      <c r="W14" s="24">
        <f t="shared" si="6"/>
        <v>95.557259588525312</v>
      </c>
      <c r="X14" s="33"/>
      <c r="Y14" s="19" t="s">
        <v>1778</v>
      </c>
      <c r="Z14" s="13">
        <v>79.130001975071039</v>
      </c>
      <c r="AA14" s="9">
        <v>75.04042152786279</v>
      </c>
      <c r="AB14" s="9">
        <v>75.236867826458607</v>
      </c>
      <c r="AC14" s="12">
        <v>4.9199217129287043E-2</v>
      </c>
      <c r="AD14" s="4">
        <f t="shared" si="5"/>
        <v>-2.6178730688882815E-3</v>
      </c>
    </row>
    <row r="15" spans="1:30" x14ac:dyDescent="0.3">
      <c r="B15" s="33"/>
      <c r="C15" t="s">
        <v>1779</v>
      </c>
      <c r="D15" s="22">
        <v>54.973500000000001</v>
      </c>
      <c r="E15" s="24">
        <v>600.59706196367097</v>
      </c>
      <c r="F15" s="24">
        <v>116.93704515</v>
      </c>
      <c r="G15" s="24">
        <v>78.281067711821493</v>
      </c>
      <c r="H15" s="12">
        <f t="shared" si="0"/>
        <v>0.90846858321240787</v>
      </c>
      <c r="I15" s="12">
        <f t="shared" si="1"/>
        <v>0.5298880698628633</v>
      </c>
      <c r="J15" s="12">
        <f t="shared" si="2"/>
        <v>0.29774207727498503</v>
      </c>
      <c r="K15" s="12">
        <v>0.8696612543260217</v>
      </c>
      <c r="L15" s="12">
        <v>0.33057084167461975</v>
      </c>
      <c r="O15" s="12">
        <v>0.90846865434963198</v>
      </c>
      <c r="P15" s="20">
        <v>54.973500000000001</v>
      </c>
      <c r="Q15">
        <f t="shared" si="3"/>
        <v>54.973457275192267</v>
      </c>
      <c r="R15" s="12">
        <f t="shared" si="4"/>
        <v>0.90846858321240787</v>
      </c>
      <c r="T15" s="12"/>
      <c r="W15" s="24">
        <f t="shared" si="6"/>
        <v>116.93704515</v>
      </c>
      <c r="X15" s="33"/>
      <c r="Y15" s="19" t="s">
        <v>1779</v>
      </c>
      <c r="Z15" s="13">
        <v>114.59645245371252</v>
      </c>
      <c r="AA15" s="9">
        <v>85.580124037721163</v>
      </c>
      <c r="AB15" s="9">
        <v>78.281067711821493</v>
      </c>
      <c r="AC15" s="12">
        <v>0.31689798387571755</v>
      </c>
      <c r="AD15" s="4">
        <f t="shared" si="5"/>
        <v>8.5289153386625891E-2</v>
      </c>
    </row>
    <row r="16" spans="1:30" x14ac:dyDescent="0.3">
      <c r="B16" s="33"/>
      <c r="C16" t="s">
        <v>1780</v>
      </c>
      <c r="D16" s="22">
        <v>54.8902</v>
      </c>
      <c r="E16" s="24">
        <v>79.090030546070395</v>
      </c>
      <c r="F16" s="24">
        <v>126.72051441000001</v>
      </c>
      <c r="G16" s="24">
        <v>79.823886337707364</v>
      </c>
      <c r="H16" s="12">
        <f t="shared" si="0"/>
        <v>0.30597826779158793</v>
      </c>
      <c r="I16" s="12">
        <f t="shared" si="1"/>
        <v>0.56684045787247528</v>
      </c>
      <c r="J16" s="12">
        <f t="shared" si="2"/>
        <v>0.31235871218073152</v>
      </c>
      <c r="K16" s="12">
        <v>-9.2787395145775588E-3</v>
      </c>
      <c r="L16" s="12">
        <v>0.37007921164650709</v>
      </c>
      <c r="O16" s="12">
        <v>0.30597889132136707</v>
      </c>
      <c r="P16" s="20">
        <v>54.8902</v>
      </c>
      <c r="Q16">
        <f t="shared" si="3"/>
        <v>54.890150685010724</v>
      </c>
      <c r="R16" s="12">
        <f t="shared" si="4"/>
        <v>0.30597826779158793</v>
      </c>
      <c r="T16" s="12"/>
      <c r="W16" s="24">
        <f t="shared" si="6"/>
        <v>79.090030546070395</v>
      </c>
      <c r="X16" s="33"/>
      <c r="Y16" s="19" t="s">
        <v>1780</v>
      </c>
      <c r="Z16" s="13">
        <v>110.35665208980406</v>
      </c>
      <c r="AA16" s="9">
        <v>82.049848009066338</v>
      </c>
      <c r="AB16" s="9">
        <v>79.823886337707364</v>
      </c>
      <c r="AC16" s="12">
        <v>0.2766735414123499</v>
      </c>
      <c r="AD16" s="4">
        <f t="shared" si="5"/>
        <v>2.7129382020464065E-2</v>
      </c>
    </row>
    <row r="17" spans="2:30" x14ac:dyDescent="0.3">
      <c r="B17" s="33"/>
      <c r="C17" t="s">
        <v>1781</v>
      </c>
      <c r="D17" s="22">
        <v>62.474899999999998</v>
      </c>
      <c r="E17" s="23">
        <v>62.581996299609401</v>
      </c>
      <c r="F17" s="24">
        <v>92.74421117</v>
      </c>
      <c r="G17" s="24">
        <v>63.492378102066596</v>
      </c>
      <c r="H17" s="12">
        <f t="shared" si="0"/>
        <v>1.7112956751440494E-3</v>
      </c>
      <c r="I17" s="12">
        <f t="shared" si="1"/>
        <v>0.32637412931914855</v>
      </c>
      <c r="J17" s="12">
        <f t="shared" si="2"/>
        <v>1.6025200700955946E-2</v>
      </c>
      <c r="K17" s="12">
        <v>-1.4547024005094479E-2</v>
      </c>
      <c r="L17" s="12">
        <v>0.3154033302878046</v>
      </c>
      <c r="O17" s="12">
        <v>1.7105361952065104E-3</v>
      </c>
      <c r="P17" s="20">
        <v>62.474899999999998</v>
      </c>
      <c r="Q17">
        <f t="shared" si="3"/>
        <v>62.474947529770638</v>
      </c>
      <c r="R17" s="12">
        <f t="shared" si="4"/>
        <v>1.7112956751440494E-3</v>
      </c>
      <c r="T17" s="12"/>
      <c r="W17" s="24">
        <f t="shared" si="6"/>
        <v>62.581996299609401</v>
      </c>
      <c r="X17" s="33"/>
      <c r="Y17" s="19" t="s">
        <v>1781</v>
      </c>
      <c r="Z17" s="13">
        <v>67.93833028370095</v>
      </c>
      <c r="AA17" s="9">
        <v>74.560326357414041</v>
      </c>
      <c r="AB17" s="9">
        <v>63.492378102066596</v>
      </c>
      <c r="AC17" s="12">
        <v>6.5440998668478911E-2</v>
      </c>
      <c r="AD17" s="4">
        <f t="shared" si="5"/>
        <v>0.14844286225749445</v>
      </c>
    </row>
    <row r="18" spans="2:30" x14ac:dyDescent="0.3">
      <c r="B18" s="33" t="s">
        <v>592</v>
      </c>
      <c r="C18" t="s">
        <v>1782</v>
      </c>
      <c r="D18" s="22">
        <v>73.251499999999993</v>
      </c>
      <c r="E18" s="24">
        <v>1779.0503180665351</v>
      </c>
      <c r="F18" s="24">
        <v>143.50523222999999</v>
      </c>
      <c r="G18" s="24">
        <v>96.057852332269405</v>
      </c>
      <c r="H18" s="12">
        <f t="shared" si="0"/>
        <v>0.95882550411524647</v>
      </c>
      <c r="I18" s="12">
        <f t="shared" si="1"/>
        <v>0.48955519696593575</v>
      </c>
      <c r="J18" s="12">
        <f t="shared" si="2"/>
        <v>0.23742309221510577</v>
      </c>
      <c r="K18" s="12">
        <v>0.94600610710288124</v>
      </c>
      <c r="L18" s="12">
        <v>0.33063170701459371</v>
      </c>
      <c r="O18" s="12">
        <v>0.99645958548608748</v>
      </c>
      <c r="P18" s="20">
        <v>73.251499999999993</v>
      </c>
      <c r="Q18">
        <f t="shared" si="3"/>
        <v>6.2985755670634376</v>
      </c>
      <c r="R18" s="12">
        <f t="shared" si="4"/>
        <v>0.95882550411524647</v>
      </c>
      <c r="S18">
        <v>20690.0916</v>
      </c>
      <c r="T18" s="12">
        <f>(S18-P18)/S18</f>
        <v>0.9964595855148366</v>
      </c>
      <c r="W18" s="24">
        <f t="shared" si="6"/>
        <v>143.50523222999999</v>
      </c>
      <c r="X18" s="33" t="s">
        <v>592</v>
      </c>
      <c r="Y18" s="19" t="s">
        <v>1782</v>
      </c>
      <c r="Z18" s="13">
        <v>139.8957524937764</v>
      </c>
      <c r="AA18" s="9">
        <v>95.2872019031946</v>
      </c>
      <c r="AB18" s="9">
        <v>96.057852332269405</v>
      </c>
      <c r="AC18" s="12">
        <v>0.31336119489015385</v>
      </c>
      <c r="AD18" s="4">
        <f t="shared" si="5"/>
        <v>-8.0876593465063103E-3</v>
      </c>
    </row>
    <row r="19" spans="2:30" x14ac:dyDescent="0.3">
      <c r="B19" s="33"/>
      <c r="C19" t="s">
        <v>1783</v>
      </c>
      <c r="D19" s="22">
        <v>75.9602</v>
      </c>
      <c r="E19" s="24">
        <v>1485.9867313469467</v>
      </c>
      <c r="F19" s="24">
        <v>136.68911327999999</v>
      </c>
      <c r="G19" s="24">
        <v>103.75426744136814</v>
      </c>
      <c r="H19" s="12">
        <f t="shared" si="0"/>
        <v>0.94888231610847074</v>
      </c>
      <c r="I19" s="12">
        <f t="shared" si="1"/>
        <v>0.44428493113127604</v>
      </c>
      <c r="J19" s="12">
        <f t="shared" si="2"/>
        <v>0.26788360736173727</v>
      </c>
      <c r="K19" s="12">
        <v>0.93017820061736234</v>
      </c>
      <c r="L19" s="12">
        <v>0.24094710286960935</v>
      </c>
      <c r="O19" s="12">
        <v>0.99564039637029755</v>
      </c>
      <c r="P19" s="20">
        <v>75.9602</v>
      </c>
      <c r="Q19">
        <f t="shared" si="3"/>
        <v>6.478313147669823</v>
      </c>
      <c r="R19" s="12">
        <f t="shared" si="4"/>
        <v>0.94888231610847074</v>
      </c>
      <c r="S19">
        <v>17423.651099999999</v>
      </c>
      <c r="T19" s="12">
        <f t="shared" ref="T19:T27" si="7">(S19-P19)/S19</f>
        <v>0.99564039709220298</v>
      </c>
      <c r="W19" s="24">
        <f t="shared" si="6"/>
        <v>136.68911327999999</v>
      </c>
      <c r="X19" s="33"/>
      <c r="Y19" s="19" t="s">
        <v>1783</v>
      </c>
      <c r="Z19" s="13">
        <v>130.67448008437844</v>
      </c>
      <c r="AA19" s="9">
        <v>107.79787016615427</v>
      </c>
      <c r="AB19" s="9">
        <v>103.75426744136814</v>
      </c>
      <c r="AC19" s="12">
        <v>0.20600971685999839</v>
      </c>
      <c r="AD19" s="4">
        <f t="shared" si="5"/>
        <v>3.7510970472362008E-2</v>
      </c>
    </row>
    <row r="20" spans="2:30" x14ac:dyDescent="0.3">
      <c r="B20" s="33"/>
      <c r="C20" t="s">
        <v>1784</v>
      </c>
      <c r="D20" s="22">
        <v>69.497699999999995</v>
      </c>
      <c r="E20" s="24">
        <v>1361.0478745513392</v>
      </c>
      <c r="F20" s="24">
        <v>143.75224972999999</v>
      </c>
      <c r="G20" s="24">
        <v>96.89826578643283</v>
      </c>
      <c r="H20" s="12">
        <f t="shared" si="0"/>
        <v>0.94893809299477483</v>
      </c>
      <c r="I20" s="12">
        <f t="shared" si="1"/>
        <v>0.51654530533934062</v>
      </c>
      <c r="J20" s="12">
        <f t="shared" si="2"/>
        <v>0.28277663758012594</v>
      </c>
      <c r="K20" s="12">
        <v>0.92880612974883436</v>
      </c>
      <c r="L20" s="12">
        <v>0.32593565687889958</v>
      </c>
      <c r="O20" s="12">
        <v>0.99625957088498274</v>
      </c>
      <c r="P20" s="20">
        <v>69.497699999999995</v>
      </c>
      <c r="Q20">
        <f t="shared" si="3"/>
        <v>5.0909030969041922</v>
      </c>
      <c r="R20" s="12">
        <f t="shared" si="4"/>
        <v>0.94893809299477483</v>
      </c>
      <c r="S20">
        <v>18580.149000000001</v>
      </c>
      <c r="T20" s="12">
        <f t="shared" si="7"/>
        <v>0.99625957251473063</v>
      </c>
      <c r="W20" s="24">
        <f t="shared" si="6"/>
        <v>143.75224972999999</v>
      </c>
      <c r="X20" s="33"/>
      <c r="Y20" s="19" t="s">
        <v>1784</v>
      </c>
      <c r="Z20" s="13">
        <v>139.7686740833378</v>
      </c>
      <c r="AA20" s="9">
        <v>100.47303179399104</v>
      </c>
      <c r="AB20" s="9">
        <v>96.89826578643283</v>
      </c>
      <c r="AC20" s="12">
        <v>0.30672401078472894</v>
      </c>
      <c r="AD20" s="4">
        <f t="shared" si="5"/>
        <v>3.5579358398260312E-2</v>
      </c>
    </row>
    <row r="21" spans="2:30" x14ac:dyDescent="0.3">
      <c r="B21" s="33"/>
      <c r="C21" t="s">
        <v>1785</v>
      </c>
      <c r="D21" s="22">
        <v>75.502700000000004</v>
      </c>
      <c r="E21" s="24">
        <v>1390.0675692228908</v>
      </c>
      <c r="F21" s="24">
        <v>159.07776181</v>
      </c>
      <c r="G21" s="24">
        <v>99.010361511311643</v>
      </c>
      <c r="H21" s="12">
        <f t="shared" si="0"/>
        <v>0.94568415113647364</v>
      </c>
      <c r="I21" s="12">
        <f t="shared" si="1"/>
        <v>0.5253723767488051</v>
      </c>
      <c r="J21" s="12">
        <f t="shared" si="2"/>
        <v>0.23742627693189422</v>
      </c>
      <c r="K21" s="12">
        <v>0.92877298650549567</v>
      </c>
      <c r="L21" s="12">
        <v>0.37759772085825499</v>
      </c>
      <c r="O21" s="12">
        <v>0.99647376277875233</v>
      </c>
      <c r="P21" s="20">
        <v>75.502700000000004</v>
      </c>
      <c r="Q21">
        <f t="shared" si="3"/>
        <v>4.9017080026430362</v>
      </c>
      <c r="R21" s="12">
        <f t="shared" si="4"/>
        <v>0.94568415113647364</v>
      </c>
      <c r="S21">
        <v>21411.687099999999</v>
      </c>
      <c r="T21" s="12">
        <f t="shared" si="7"/>
        <v>0.99647376221932549</v>
      </c>
      <c r="W21" s="24">
        <f t="shared" si="6"/>
        <v>159.07776181</v>
      </c>
      <c r="X21" s="33"/>
      <c r="Y21" s="19" t="s">
        <v>1785</v>
      </c>
      <c r="Z21" s="13">
        <v>153.50249196774706</v>
      </c>
      <c r="AA21" s="9">
        <v>108.49097012380952</v>
      </c>
      <c r="AB21" s="9">
        <v>99.010361511311643</v>
      </c>
      <c r="AC21" s="12">
        <v>0.35499182949997288</v>
      </c>
      <c r="AD21" s="4">
        <f t="shared" si="5"/>
        <v>8.7386153904593505E-2</v>
      </c>
    </row>
    <row r="22" spans="2:30" x14ac:dyDescent="0.3">
      <c r="B22" s="33"/>
      <c r="C22" t="s">
        <v>1786</v>
      </c>
      <c r="D22" s="22">
        <v>79.171099999999996</v>
      </c>
      <c r="E22" s="24">
        <v>1279.3915889633035</v>
      </c>
      <c r="F22" s="24">
        <v>155.03973479999999</v>
      </c>
      <c r="G22" s="24">
        <v>107.9504301020327</v>
      </c>
      <c r="H22" s="12">
        <f t="shared" si="0"/>
        <v>0.93811816438143636</v>
      </c>
      <c r="I22" s="12">
        <f t="shared" si="1"/>
        <v>0.48934961671515964</v>
      </c>
      <c r="J22" s="12">
        <f t="shared" si="2"/>
        <v>0.26659764185127399</v>
      </c>
      <c r="K22" s="12">
        <v>0.91562362060742841</v>
      </c>
      <c r="L22" s="12">
        <v>0.30372410504127939</v>
      </c>
      <c r="O22" s="12">
        <v>0.99585741574248532</v>
      </c>
      <c r="P22" s="20">
        <v>79.171099999999996</v>
      </c>
      <c r="Q22">
        <f t="shared" si="3"/>
        <v>5.2999874556360744</v>
      </c>
      <c r="R22" s="12">
        <f t="shared" si="4"/>
        <v>0.93811816438143636</v>
      </c>
      <c r="S22">
        <v>19111.525099999999</v>
      </c>
      <c r="T22" s="12">
        <f t="shared" si="7"/>
        <v>0.99585741590031451</v>
      </c>
      <c r="W22" s="24">
        <f t="shared" si="6"/>
        <v>155.03973479999999</v>
      </c>
      <c r="X22" s="33"/>
      <c r="Y22" s="19" t="s">
        <v>1786</v>
      </c>
      <c r="Z22" s="13">
        <v>150.38724903240183</v>
      </c>
      <c r="AA22" s="9">
        <v>120.55877081221855</v>
      </c>
      <c r="AB22" s="9">
        <v>107.9504301020327</v>
      </c>
      <c r="AC22" s="12">
        <v>0.28218362396685548</v>
      </c>
      <c r="AD22" s="4">
        <f t="shared" si="5"/>
        <v>0.10458252539605363</v>
      </c>
    </row>
    <row r="23" spans="2:30" x14ac:dyDescent="0.3">
      <c r="B23" s="33" t="s">
        <v>596</v>
      </c>
      <c r="C23" t="s">
        <v>1787</v>
      </c>
      <c r="D23" s="22">
        <v>94.151300000000006</v>
      </c>
      <c r="E23" s="24">
        <v>1557.924887939429</v>
      </c>
      <c r="F23" s="24">
        <v>168.03982887999999</v>
      </c>
      <c r="G23" s="24">
        <v>112.44468498811091</v>
      </c>
      <c r="H23" s="12">
        <f t="shared" si="0"/>
        <v>0.93956621353900571</v>
      </c>
      <c r="I23" s="12">
        <f t="shared" si="1"/>
        <v>0.4397084272965131</v>
      </c>
      <c r="J23" s="12">
        <f t="shared" si="2"/>
        <v>0.16268785839050651</v>
      </c>
      <c r="K23" s="12">
        <v>0.92782406529442207</v>
      </c>
      <c r="L23" s="12">
        <f>(F23-G23)/F23</f>
        <v>0.3308450399077143</v>
      </c>
      <c r="O23" s="12">
        <v>0.99597098123196848</v>
      </c>
      <c r="P23" s="20">
        <v>94.151300000000006</v>
      </c>
      <c r="Q23">
        <f t="shared" si="3"/>
        <v>6.2769086126913658</v>
      </c>
      <c r="R23" s="12">
        <f t="shared" si="4"/>
        <v>0.93956621353900571</v>
      </c>
      <c r="S23">
        <v>23368.2958</v>
      </c>
      <c r="T23" s="12">
        <f t="shared" si="7"/>
        <v>0.99597098133275075</v>
      </c>
      <c r="W23" s="24">
        <f t="shared" si="6"/>
        <v>168.03982887999999</v>
      </c>
      <c r="X23" s="33" t="s">
        <v>596</v>
      </c>
      <c r="Y23" s="19" t="s">
        <v>1787</v>
      </c>
      <c r="Z23" s="13">
        <v>161.43302259709776</v>
      </c>
      <c r="AA23" s="9">
        <v>115.84930425941576</v>
      </c>
      <c r="AB23" s="9">
        <v>112.44468498811091</v>
      </c>
      <c r="AC23" s="12">
        <v>0.30345921064273973</v>
      </c>
      <c r="AD23" s="4">
        <f t="shared" si="5"/>
        <v>2.9388344565980759E-2</v>
      </c>
    </row>
    <row r="24" spans="2:30" x14ac:dyDescent="0.3">
      <c r="B24" s="33"/>
      <c r="C24" t="s">
        <v>1788</v>
      </c>
      <c r="D24" s="22">
        <v>98.319000000000003</v>
      </c>
      <c r="E24" s="24">
        <v>2042.2429125479177</v>
      </c>
      <c r="F24" s="24">
        <v>197.35531183000001</v>
      </c>
      <c r="G24" s="24">
        <v>136.135364351471</v>
      </c>
      <c r="H24" s="12">
        <f t="shared" si="0"/>
        <v>0.95185734302422598</v>
      </c>
      <c r="I24" s="12">
        <f t="shared" si="1"/>
        <v>0.50181731067521984</v>
      </c>
      <c r="J24" s="12">
        <f t="shared" si="2"/>
        <v>0.27778501590400578</v>
      </c>
      <c r="K24" s="12">
        <v>0.93334026842985707</v>
      </c>
      <c r="L24" s="12">
        <v>0.31020167083854977</v>
      </c>
      <c r="O24" s="12">
        <v>0.9957398768016934</v>
      </c>
      <c r="P24" s="20">
        <v>98.319000000000003</v>
      </c>
      <c r="Q24">
        <f t="shared" si="3"/>
        <v>8.7002064083226163</v>
      </c>
      <c r="R24" s="12">
        <f t="shared" si="4"/>
        <v>0.95185734302422598</v>
      </c>
      <c r="S24">
        <v>23078.900699999998</v>
      </c>
      <c r="T24" s="12">
        <f t="shared" si="7"/>
        <v>0.99573987507992534</v>
      </c>
      <c r="W24" s="24">
        <f t="shared" si="6"/>
        <v>197.35531183000001</v>
      </c>
      <c r="X24" s="33"/>
      <c r="Y24" s="19" t="s">
        <v>1788</v>
      </c>
      <c r="Z24" s="13">
        <v>192.30465255029085</v>
      </c>
      <c r="AA24" s="9">
        <v>140.0327761318037</v>
      </c>
      <c r="AB24" s="9">
        <v>136.135364351471</v>
      </c>
      <c r="AC24" s="12">
        <v>0.29208491554373939</v>
      </c>
      <c r="AD24" s="4">
        <f t="shared" si="5"/>
        <v>2.7832139646109168E-2</v>
      </c>
    </row>
    <row r="25" spans="2:30" x14ac:dyDescent="0.3">
      <c r="B25" s="33"/>
      <c r="C25" t="s">
        <v>1789</v>
      </c>
      <c r="D25" s="22">
        <v>95.824399999999997</v>
      </c>
      <c r="E25" s="24">
        <v>2014.4736320687407</v>
      </c>
      <c r="F25" s="24">
        <v>156.32958883000001</v>
      </c>
      <c r="G25" s="24">
        <v>112.49228066462901</v>
      </c>
      <c r="H25" s="12">
        <f t="shared" si="0"/>
        <v>0.95243204057151432</v>
      </c>
      <c r="I25" s="12">
        <f t="shared" si="1"/>
        <v>0.38703606452772121</v>
      </c>
      <c r="J25" s="12">
        <f t="shared" si="2"/>
        <v>0.14816910605911379</v>
      </c>
      <c r="K25" s="12">
        <v>0.94415797810711155</v>
      </c>
      <c r="L25" s="12">
        <v>0.28041593720969682</v>
      </c>
      <c r="O25" s="12">
        <v>0.99614347215230492</v>
      </c>
      <c r="P25" s="20">
        <v>95.824399999999997</v>
      </c>
      <c r="Q25">
        <f t="shared" si="3"/>
        <v>7.7688736605205495</v>
      </c>
      <c r="R25" s="12">
        <f t="shared" si="4"/>
        <v>0.95243204057151432</v>
      </c>
      <c r="S25">
        <v>24847.314399999999</v>
      </c>
      <c r="T25" s="12">
        <f t="shared" si="7"/>
        <v>0.99614347053941565</v>
      </c>
      <c r="W25" s="24">
        <f t="shared" si="6"/>
        <v>156.32958883000001</v>
      </c>
      <c r="X25" s="33"/>
      <c r="Y25" s="19" t="s">
        <v>1789</v>
      </c>
      <c r="Z25" s="13">
        <v>148.07209015376804</v>
      </c>
      <c r="AA25" s="9">
        <v>116.44529368534347</v>
      </c>
      <c r="AB25" s="9">
        <v>112.49228066462901</v>
      </c>
      <c r="AC25" s="12">
        <v>0.2402870753846357</v>
      </c>
      <c r="AD25" s="4">
        <f t="shared" si="5"/>
        <v>3.3947383321443897E-2</v>
      </c>
    </row>
    <row r="26" spans="2:30" x14ac:dyDescent="0.3">
      <c r="B26" s="33"/>
      <c r="C26" t="s">
        <v>1790</v>
      </c>
      <c r="D26" s="22">
        <v>93.579400000000007</v>
      </c>
      <c r="E26" s="24">
        <v>1918.4566434140004</v>
      </c>
      <c r="F26" s="24">
        <v>180.29233119</v>
      </c>
      <c r="G26" s="24">
        <v>128.2387680792381</v>
      </c>
      <c r="H26" s="12">
        <f t="shared" si="0"/>
        <v>0.95122151948481337</v>
      </c>
      <c r="I26" s="12">
        <f t="shared" si="1"/>
        <v>0.48095740189092173</v>
      </c>
      <c r="J26" s="12">
        <f t="shared" si="2"/>
        <v>0.27027215403240806</v>
      </c>
      <c r="K26" s="12">
        <v>0.9331552430337805</v>
      </c>
      <c r="L26" s="12">
        <v>0.28871756644993157</v>
      </c>
      <c r="O26" s="12">
        <v>0.99596924402628317</v>
      </c>
      <c r="P26" s="20">
        <v>93.579400000000007</v>
      </c>
      <c r="Q26">
        <f t="shared" si="3"/>
        <v>7.7328305757577134</v>
      </c>
      <c r="R26" s="12">
        <f t="shared" si="4"/>
        <v>0.95122151948481337</v>
      </c>
      <c r="S26">
        <v>23216.343199999999</v>
      </c>
      <c r="T26" s="12">
        <f t="shared" si="7"/>
        <v>0.99596924463108394</v>
      </c>
      <c r="W26" s="24">
        <f t="shared" si="6"/>
        <v>180.29233119</v>
      </c>
      <c r="X26" s="33"/>
      <c r="Y26" s="19" t="s">
        <v>1790</v>
      </c>
      <c r="Z26" s="13">
        <v>172.5957766878399</v>
      </c>
      <c r="AA26" s="9">
        <v>133.51281268459496</v>
      </c>
      <c r="AB26" s="9">
        <v>128.2387680792381</v>
      </c>
      <c r="AC26" s="12">
        <v>0.25699938584723747</v>
      </c>
      <c r="AD26" s="4">
        <f t="shared" si="5"/>
        <v>3.9502160873623744E-2</v>
      </c>
    </row>
    <row r="27" spans="2:30" x14ac:dyDescent="0.3">
      <c r="B27" s="33"/>
      <c r="C27" t="s">
        <v>1791</v>
      </c>
      <c r="D27" s="22">
        <v>112.7895</v>
      </c>
      <c r="E27" s="24">
        <v>2296.9963547158604</v>
      </c>
      <c r="F27" s="24">
        <v>231.07773642000001</v>
      </c>
      <c r="G27" s="24">
        <v>164.89065281409654</v>
      </c>
      <c r="H27" s="12">
        <f t="shared" si="0"/>
        <v>0.95089696169154259</v>
      </c>
      <c r="I27" s="12">
        <f t="shared" si="1"/>
        <v>0.51189802294498343</v>
      </c>
      <c r="J27" s="12">
        <f t="shared" si="2"/>
        <v>0.31597396168257752</v>
      </c>
      <c r="K27" s="12">
        <v>0.9282146650012888</v>
      </c>
      <c r="L27" s="12">
        <v>0.28642778240480854</v>
      </c>
      <c r="O27" s="12">
        <v>0.99593425979891625</v>
      </c>
      <c r="P27" s="20">
        <v>112.7895</v>
      </c>
      <c r="Q27">
        <f t="shared" si="3"/>
        <v>9.3389904211110917</v>
      </c>
      <c r="R27" s="12">
        <f t="shared" si="4"/>
        <v>0.95089696169154259</v>
      </c>
      <c r="S27">
        <v>27741.435600000001</v>
      </c>
      <c r="T27" s="12">
        <f t="shared" si="7"/>
        <v>0.99593425871586838</v>
      </c>
      <c r="W27" s="24">
        <f t="shared" si="6"/>
        <v>231.07773642000001</v>
      </c>
      <c r="X27" s="33"/>
      <c r="Y27" s="19" t="s">
        <v>1791</v>
      </c>
      <c r="Z27" s="13">
        <v>221.23502350238041</v>
      </c>
      <c r="AA27" s="9">
        <v>163.40759993350167</v>
      </c>
      <c r="AB27" s="9">
        <v>164.89065281409654</v>
      </c>
      <c r="AC27" s="12">
        <v>0.25468106177898014</v>
      </c>
      <c r="AD27" s="4">
        <f t="shared" si="5"/>
        <v>-9.0757888935300048E-3</v>
      </c>
    </row>
    <row r="28" spans="2:30" x14ac:dyDescent="0.3">
      <c r="B28" s="33" t="s">
        <v>594</v>
      </c>
      <c r="C28" t="s">
        <v>1792</v>
      </c>
      <c r="D28" s="22">
        <v>147.82400000000001</v>
      </c>
      <c r="E28" s="25" t="s">
        <v>1756</v>
      </c>
      <c r="F28" s="24">
        <v>262.99802846</v>
      </c>
      <c r="G28" s="24">
        <v>183.37280830517034</v>
      </c>
      <c r="H28" s="12" t="str">
        <f t="shared" si="0"/>
        <v>-</v>
      </c>
      <c r="I28" s="12">
        <f t="shared" si="1"/>
        <v>0.43792734544212403</v>
      </c>
      <c r="J28" s="12">
        <f t="shared" si="2"/>
        <v>0.19386084901971803</v>
      </c>
      <c r="K28" s="4" t="str">
        <f t="shared" ref="K28:L52" si="8">IFERROR((E28-$G28)/E28,"-")</f>
        <v>-</v>
      </c>
      <c r="L28" s="12">
        <v>0.30275976067607691</v>
      </c>
      <c r="O28" s="18" t="s">
        <v>1756</v>
      </c>
      <c r="P28" s="20">
        <v>147.82400000000001</v>
      </c>
      <c r="Q28" s="18" t="str">
        <f>IFERROR((#REF!-#REF!)/#REF!,"-")</f>
        <v>-</v>
      </c>
      <c r="R28" s="18" t="str">
        <f>IFERROR((#REF!-#REF!)/#REF!,"-")</f>
        <v>-</v>
      </c>
      <c r="T28" s="12"/>
      <c r="W28" s="24">
        <f t="shared" si="6"/>
        <v>262.99802846</v>
      </c>
      <c r="X28" s="33" t="s">
        <v>594</v>
      </c>
      <c r="Y28" t="s">
        <v>1792</v>
      </c>
      <c r="Z28" s="13">
        <v>254.51050153963263</v>
      </c>
      <c r="AA28" s="13">
        <v>208.41107395894616</v>
      </c>
      <c r="AB28" s="13">
        <v>183.37280830517034</v>
      </c>
      <c r="AC28" s="12">
        <f>(Z28-AB28)/Z28</f>
        <v>0.2795078898675018</v>
      </c>
      <c r="AD28" s="4">
        <f>(AA28-AB28)/AA28</f>
        <v>0.12013884472716639</v>
      </c>
    </row>
    <row r="29" spans="2:30" x14ac:dyDescent="0.3">
      <c r="B29" s="33"/>
      <c r="C29" t="s">
        <v>1793</v>
      </c>
      <c r="D29" s="22">
        <v>136.91929999999999</v>
      </c>
      <c r="E29" s="25" t="s">
        <v>1756</v>
      </c>
      <c r="F29" s="24">
        <v>294.01645559000002</v>
      </c>
      <c r="G29" s="24">
        <v>196.21432586195203</v>
      </c>
      <c r="H29" s="12" t="str">
        <f t="shared" si="0"/>
        <v>-</v>
      </c>
      <c r="I29" s="12">
        <f t="shared" si="1"/>
        <v>0.53431416032396783</v>
      </c>
      <c r="J29" s="12">
        <f t="shared" si="2"/>
        <v>0.30219519192329247</v>
      </c>
      <c r="K29" s="4" t="str">
        <f t="shared" si="8"/>
        <v>-</v>
      </c>
      <c r="L29" s="12">
        <v>0.33264168677834505</v>
      </c>
      <c r="O29" s="18" t="s">
        <v>1756</v>
      </c>
      <c r="P29" s="20">
        <v>136.91929999999999</v>
      </c>
      <c r="Q29" s="18" t="str">
        <f t="shared" ref="Q29:R52" si="9">IFERROR((#REF!-#REF!)/#REF!,"-")</f>
        <v>-</v>
      </c>
      <c r="R29" s="18" t="str">
        <f t="shared" si="9"/>
        <v>-</v>
      </c>
      <c r="T29" s="12"/>
      <c r="W29" s="24">
        <f t="shared" si="6"/>
        <v>294.01645559000002</v>
      </c>
      <c r="X29" s="33"/>
      <c r="Y29" t="s">
        <v>1793</v>
      </c>
      <c r="Z29" s="13">
        <v>285.9167621223346</v>
      </c>
      <c r="AA29" s="13">
        <v>224.40392164510226</v>
      </c>
      <c r="AB29" s="13">
        <v>196.21432586195203</v>
      </c>
      <c r="AC29" s="12">
        <f t="shared" ref="AC29:AC31" si="10">(Z29-AB29)/Z29</f>
        <v>0.31373619229082406</v>
      </c>
      <c r="AD29" s="4">
        <f t="shared" ref="AD29" si="11">(AA29-AB29)/AA29</f>
        <v>0.12561988924477194</v>
      </c>
    </row>
    <row r="30" spans="2:30" x14ac:dyDescent="0.3">
      <c r="B30" s="33"/>
      <c r="C30" t="s">
        <v>1794</v>
      </c>
      <c r="D30" s="22">
        <v>158.2567</v>
      </c>
      <c r="E30" s="25" t="s">
        <v>1756</v>
      </c>
      <c r="F30" s="24">
        <v>326.96103498000002</v>
      </c>
      <c r="G30" s="24">
        <v>223.84969477670546</v>
      </c>
      <c r="H30" s="12" t="str">
        <f t="shared" si="0"/>
        <v>-</v>
      </c>
      <c r="I30" s="12">
        <f t="shared" si="1"/>
        <v>0.51597688082410054</v>
      </c>
      <c r="J30" s="12">
        <f t="shared" si="2"/>
        <v>0.29302248922937235</v>
      </c>
      <c r="K30" s="4" t="str">
        <f t="shared" si="8"/>
        <v>-</v>
      </c>
      <c r="L30" s="12">
        <v>0.31536277773772586</v>
      </c>
      <c r="O30" s="18" t="s">
        <v>1756</v>
      </c>
      <c r="P30" s="20">
        <v>158.2567</v>
      </c>
      <c r="Q30" s="18" t="str">
        <f t="shared" si="9"/>
        <v>-</v>
      </c>
      <c r="R30" s="18" t="str">
        <f t="shared" si="9"/>
        <v>-</v>
      </c>
      <c r="T30" s="12"/>
      <c r="W30" s="24">
        <f t="shared" si="6"/>
        <v>326.96103498000002</v>
      </c>
      <c r="X30" s="33"/>
      <c r="Y30" t="s">
        <v>1794</v>
      </c>
      <c r="Z30" s="13">
        <v>319.5934581953336</v>
      </c>
      <c r="AA30" s="13">
        <v>240.12338346778881</v>
      </c>
      <c r="AB30" s="13">
        <v>223.84969477670546</v>
      </c>
      <c r="AC30" s="12">
        <f t="shared" si="10"/>
        <v>0.29957985986093033</v>
      </c>
      <c r="AD30" s="4">
        <f t="shared" ref="AD30:AD31" si="12">(AA30-$AB30)/AA30</f>
        <v>6.7772194677851408E-2</v>
      </c>
    </row>
    <row r="31" spans="2:30" x14ac:dyDescent="0.3">
      <c r="B31" s="33"/>
      <c r="C31" t="s">
        <v>1795</v>
      </c>
      <c r="D31" s="22">
        <v>126.3252</v>
      </c>
      <c r="E31" s="25" t="s">
        <v>1756</v>
      </c>
      <c r="F31" s="24">
        <v>220.33714198000001</v>
      </c>
      <c r="G31" s="24">
        <v>169.21303561650905</v>
      </c>
      <c r="H31" s="12" t="str">
        <f t="shared" si="0"/>
        <v>-</v>
      </c>
      <c r="I31" s="12">
        <f t="shared" si="1"/>
        <v>0.42667314795493477</v>
      </c>
      <c r="J31" s="12">
        <f t="shared" si="2"/>
        <v>0.25345467895101548</v>
      </c>
      <c r="K31" s="4" t="str">
        <f t="shared" si="8"/>
        <v>-</v>
      </c>
      <c r="L31" s="12">
        <v>0.23202672914824091</v>
      </c>
      <c r="O31" s="18" t="s">
        <v>1756</v>
      </c>
      <c r="P31" s="20">
        <v>126.3252</v>
      </c>
      <c r="Q31" s="18" t="str">
        <f t="shared" si="9"/>
        <v>-</v>
      </c>
      <c r="R31" s="18" t="str">
        <f t="shared" si="9"/>
        <v>-</v>
      </c>
      <c r="T31" s="12"/>
      <c r="W31" s="24">
        <f t="shared" si="6"/>
        <v>220.33714198000001</v>
      </c>
      <c r="X31" s="33"/>
      <c r="Y31" t="s">
        <v>1795</v>
      </c>
      <c r="Z31" s="13">
        <v>212.9445392611463</v>
      </c>
      <c r="AA31" s="13">
        <v>173.48320515526152</v>
      </c>
      <c r="AB31" s="13">
        <v>169.21303561650905</v>
      </c>
      <c r="AC31" s="12">
        <f t="shared" si="10"/>
        <v>0.20536569660988943</v>
      </c>
      <c r="AD31" s="4">
        <f t="shared" si="12"/>
        <v>2.4614310848884848E-2</v>
      </c>
    </row>
    <row r="32" spans="2:30" x14ac:dyDescent="0.3">
      <c r="B32" s="33"/>
      <c r="C32" t="s">
        <v>1796</v>
      </c>
      <c r="D32" s="22">
        <v>152.2621</v>
      </c>
      <c r="E32" s="25" t="s">
        <v>1756</v>
      </c>
      <c r="F32" s="24">
        <v>225.72616502</v>
      </c>
      <c r="G32" s="24">
        <v>173.0849769117732</v>
      </c>
      <c r="H32" s="12" t="str">
        <f t="shared" si="0"/>
        <v>-</v>
      </c>
      <c r="I32" s="12">
        <f t="shared" si="1"/>
        <v>0.32545657705871567</v>
      </c>
      <c r="J32" s="12">
        <f t="shared" si="2"/>
        <v>0.12030435733534091</v>
      </c>
      <c r="K32" s="4" t="str">
        <f t="shared" si="8"/>
        <v>-</v>
      </c>
      <c r="L32" s="12">
        <v>0.23320817993590878</v>
      </c>
      <c r="O32" s="18" t="s">
        <v>1756</v>
      </c>
      <c r="P32" s="20">
        <v>152.2621</v>
      </c>
      <c r="Q32" s="18" t="str">
        <f t="shared" si="9"/>
        <v>-</v>
      </c>
      <c r="R32" s="18" t="str">
        <f t="shared" si="9"/>
        <v>-</v>
      </c>
      <c r="T32" s="12"/>
      <c r="W32" s="24">
        <f t="shared" si="6"/>
        <v>225.72616502</v>
      </c>
      <c r="X32" s="33"/>
      <c r="Y32" t="s">
        <v>1796</v>
      </c>
      <c r="Z32" s="13">
        <v>219.92113333375823</v>
      </c>
      <c r="AA32" s="13">
        <v>192.09103257221071</v>
      </c>
      <c r="AB32" s="13">
        <v>173.0849769117732</v>
      </c>
      <c r="AC32" s="12">
        <f>(Z32-$AB32)/Z32</f>
        <v>0.21296796588850433</v>
      </c>
      <c r="AD32" s="4">
        <f>(AA32-$AB32)/AA32</f>
        <v>9.8942961604898294E-2</v>
      </c>
    </row>
    <row r="33" spans="2:30" x14ac:dyDescent="0.3">
      <c r="B33" s="33" t="s">
        <v>1927</v>
      </c>
      <c r="C33" t="s">
        <v>1929</v>
      </c>
      <c r="D33" s="20">
        <v>176.0343</v>
      </c>
      <c r="E33" s="25" t="s">
        <v>1756</v>
      </c>
      <c r="F33" s="24">
        <v>328.47559343</v>
      </c>
      <c r="G33" s="24">
        <v>236.63191595111198</v>
      </c>
      <c r="H33" s="12" t="str">
        <f t="shared" si="0"/>
        <v>-</v>
      </c>
      <c r="I33" s="12">
        <f t="shared" si="1"/>
        <v>0.46408712391134199</v>
      </c>
      <c r="J33" s="12">
        <f t="shared" si="2"/>
        <v>0.25608386640300629</v>
      </c>
      <c r="K33" s="4" t="str">
        <f>IFERROR((E33-$G33)/E33,"-")</f>
        <v>-</v>
      </c>
      <c r="L33" s="4">
        <f>IFERROR((F33-$G33)/F33,"-")</f>
        <v>0.27960578903242145</v>
      </c>
      <c r="O33" s="18" t="s">
        <v>1756</v>
      </c>
      <c r="P33" s="20">
        <v>176.0343</v>
      </c>
      <c r="Q33" s="18" t="str">
        <f t="shared" si="9"/>
        <v>-</v>
      </c>
      <c r="R33" s="18"/>
      <c r="T33" s="12"/>
      <c r="W33" s="24">
        <f t="shared" si="6"/>
        <v>328.47559343</v>
      </c>
      <c r="X33" s="33" t="s">
        <v>1927</v>
      </c>
      <c r="Y33" t="s">
        <v>1929</v>
      </c>
      <c r="Z33" s="13">
        <v>318.70549796758218</v>
      </c>
      <c r="AA33" s="13">
        <v>234.79065086874689</v>
      </c>
      <c r="AB33" s="24">
        <v>236.63191595111198</v>
      </c>
      <c r="AC33" s="12">
        <f t="shared" ref="AC33:AC36" si="13">(Z33-$AB33)/Z33</f>
        <v>0.25752170119392948</v>
      </c>
      <c r="AD33" s="4">
        <f t="shared" ref="AD33:AD36" si="14">(AA33-$AB33)/AA33</f>
        <v>-7.8421567279286213E-3</v>
      </c>
    </row>
    <row r="34" spans="2:30" x14ac:dyDescent="0.3">
      <c r="B34" s="33"/>
      <c r="C34" t="s">
        <v>1930</v>
      </c>
      <c r="D34" s="20">
        <v>183.5258</v>
      </c>
      <c r="E34" s="25" t="s">
        <v>1756</v>
      </c>
      <c r="F34" s="24">
        <v>289.34769091999999</v>
      </c>
      <c r="G34" s="24">
        <v>231.00597352899155</v>
      </c>
      <c r="H34" s="12" t="str">
        <f t="shared" ref="H34:H39" si="15">IFERROR((E34-$D34)/E34,"-")</f>
        <v>-</v>
      </c>
      <c r="I34" s="12">
        <f t="shared" ref="I34:I39" si="16">IFERROR((F34-$D34)/F34,"-")</f>
        <v>0.36572571422129663</v>
      </c>
      <c r="J34" s="12">
        <f t="shared" ref="J34:J39" si="17">IFERROR((G34-$D34)/G34,"-")</f>
        <v>0.20553656168996307</v>
      </c>
      <c r="K34" s="4" t="str">
        <f t="shared" si="8"/>
        <v>-</v>
      </c>
      <c r="L34" s="4">
        <f t="shared" ref="L34:L37" si="18">IFERROR((F34-$G34)/F34,"-")</f>
        <v>0.20163187480607542</v>
      </c>
      <c r="O34" s="18" t="s">
        <v>1756</v>
      </c>
      <c r="P34" s="20">
        <v>183.5258</v>
      </c>
      <c r="Q34" s="18" t="str">
        <f t="shared" si="9"/>
        <v>-</v>
      </c>
      <c r="R34" s="18"/>
      <c r="T34" s="12"/>
      <c r="W34" s="24">
        <f t="shared" si="6"/>
        <v>289.34769091999999</v>
      </c>
      <c r="X34" s="33"/>
      <c r="Y34" t="s">
        <v>1930</v>
      </c>
      <c r="Z34" s="13">
        <v>279.65524240683482</v>
      </c>
      <c r="AA34" s="13">
        <v>244.25921840916709</v>
      </c>
      <c r="AB34" s="24">
        <v>231.00597352899155</v>
      </c>
      <c r="AC34" s="12">
        <f t="shared" si="13"/>
        <v>0.17396158376702139</v>
      </c>
      <c r="AD34" s="4">
        <f t="shared" si="14"/>
        <v>5.4258934285029002E-2</v>
      </c>
    </row>
    <row r="35" spans="2:30" x14ac:dyDescent="0.3">
      <c r="B35" s="33"/>
      <c r="C35" t="s">
        <v>1931</v>
      </c>
      <c r="D35" s="20">
        <v>181.18029999999999</v>
      </c>
      <c r="E35" s="25" t="s">
        <v>1756</v>
      </c>
      <c r="F35" s="24">
        <v>300.82812514</v>
      </c>
      <c r="G35" s="24">
        <v>215.70167840998442</v>
      </c>
      <c r="H35" s="12" t="str">
        <f t="shared" si="15"/>
        <v>-</v>
      </c>
      <c r="I35" s="12">
        <f t="shared" si="16"/>
        <v>0.39772818809517252</v>
      </c>
      <c r="J35" s="12">
        <f t="shared" si="17"/>
        <v>0.16004223362773104</v>
      </c>
      <c r="K35" s="4" t="str">
        <f t="shared" si="8"/>
        <v>-</v>
      </c>
      <c r="L35" s="4">
        <f t="shared" si="18"/>
        <v>0.28297369699192604</v>
      </c>
      <c r="O35" s="18" t="s">
        <v>1756</v>
      </c>
      <c r="P35" s="20">
        <v>181.18029999999999</v>
      </c>
      <c r="Q35" s="18" t="str">
        <f t="shared" si="9"/>
        <v>-</v>
      </c>
      <c r="R35" s="18"/>
      <c r="T35" s="12"/>
      <c r="W35" s="24">
        <f t="shared" si="6"/>
        <v>300.82812514</v>
      </c>
      <c r="X35" s="33"/>
      <c r="Y35" t="s">
        <v>1931</v>
      </c>
      <c r="Z35" s="13">
        <v>285.74842402040076</v>
      </c>
      <c r="AA35" s="13">
        <v>251.42483025348082</v>
      </c>
      <c r="AB35" s="24">
        <v>215.70167840998442</v>
      </c>
      <c r="AC35" s="12">
        <f t="shared" si="13"/>
        <v>0.24513431998986426</v>
      </c>
      <c r="AD35" s="4">
        <f t="shared" si="14"/>
        <v>0.14208283170552855</v>
      </c>
    </row>
    <row r="36" spans="2:30" x14ac:dyDescent="0.3">
      <c r="B36" s="33"/>
      <c r="C36" t="s">
        <v>1932</v>
      </c>
      <c r="D36" s="20">
        <v>165.22489999999999</v>
      </c>
      <c r="E36" s="25" t="s">
        <v>1756</v>
      </c>
      <c r="F36" s="24">
        <v>324.9742928</v>
      </c>
      <c r="G36" s="24">
        <v>238.23601578303894</v>
      </c>
      <c r="H36" s="12" t="str">
        <f t="shared" si="15"/>
        <v>-</v>
      </c>
      <c r="I36" s="12">
        <f t="shared" si="16"/>
        <v>0.49157547639719029</v>
      </c>
      <c r="J36" s="12">
        <f t="shared" si="17"/>
        <v>0.30646548357965331</v>
      </c>
      <c r="K36" s="4" t="str">
        <f t="shared" si="8"/>
        <v>-</v>
      </c>
      <c r="L36" s="4">
        <f t="shared" si="18"/>
        <v>0.2669081183918221</v>
      </c>
      <c r="O36" s="18" t="s">
        <v>1756</v>
      </c>
      <c r="P36" s="20">
        <v>165.22489999999999</v>
      </c>
      <c r="Q36" s="18" t="str">
        <f t="shared" si="9"/>
        <v>-</v>
      </c>
      <c r="R36" s="18"/>
      <c r="T36" s="12"/>
      <c r="W36" s="24">
        <f t="shared" si="6"/>
        <v>324.9742928</v>
      </c>
      <c r="X36" s="33"/>
      <c r="Y36" t="s">
        <v>1932</v>
      </c>
      <c r="Z36" s="13">
        <v>318.2916898814089</v>
      </c>
      <c r="AA36" s="13">
        <v>267.88404015401363</v>
      </c>
      <c r="AB36" s="24">
        <v>238.23601578303894</v>
      </c>
      <c r="AC36" s="12">
        <f t="shared" si="13"/>
        <v>0.25151669567055807</v>
      </c>
      <c r="AD36" s="4">
        <f t="shared" si="14"/>
        <v>0.11067484406286116</v>
      </c>
    </row>
    <row r="37" spans="2:30" x14ac:dyDescent="0.3">
      <c r="B37" s="33"/>
      <c r="C37" t="s">
        <v>1933</v>
      </c>
      <c r="D37" s="20">
        <v>170.88409999999999</v>
      </c>
      <c r="E37" s="25" t="s">
        <v>1756</v>
      </c>
      <c r="F37" s="24">
        <v>319.5957075</v>
      </c>
      <c r="G37" s="24">
        <v>233.85783856868341</v>
      </c>
      <c r="H37" s="12" t="str">
        <f t="shared" si="15"/>
        <v>-</v>
      </c>
      <c r="I37" s="12">
        <f t="shared" si="16"/>
        <v>0.46531165472552544</v>
      </c>
      <c r="J37" s="12">
        <f t="shared" si="17"/>
        <v>0.26928213719117311</v>
      </c>
      <c r="K37" s="4" t="str">
        <f t="shared" si="8"/>
        <v>-</v>
      </c>
      <c r="L37" s="4">
        <f t="shared" si="18"/>
        <v>0.26826977621818215</v>
      </c>
      <c r="O37" s="18" t="s">
        <v>1756</v>
      </c>
      <c r="P37" s="20">
        <v>170.88409999999999</v>
      </c>
      <c r="Q37" s="18" t="str">
        <f t="shared" si="9"/>
        <v>-</v>
      </c>
      <c r="R37" s="18"/>
      <c r="T37" s="12"/>
      <c r="W37" s="24">
        <f t="shared" si="6"/>
        <v>319.5957075</v>
      </c>
      <c r="X37" s="33"/>
      <c r="Y37" t="s">
        <v>1933</v>
      </c>
      <c r="Z37" s="13">
        <v>312.57751287446854</v>
      </c>
      <c r="AA37" s="13">
        <v>251.61806220526543</v>
      </c>
      <c r="AB37" s="24">
        <v>233.85783856868341</v>
      </c>
      <c r="AC37" s="12">
        <f t="shared" ref="AC37:AC49" si="19">(Z37-$AB37)/Z37</f>
        <v>0.25184049096135408</v>
      </c>
      <c r="AD37" s="4">
        <f t="shared" ref="AD37:AD49" si="20">(AA37-$AB37)/AA37</f>
        <v>7.0584056966838726E-2</v>
      </c>
    </row>
    <row r="38" spans="2:30" x14ac:dyDescent="0.3">
      <c r="B38" s="33" t="s">
        <v>595</v>
      </c>
      <c r="C38" t="s">
        <v>1797</v>
      </c>
      <c r="D38" s="22">
        <v>197.2148</v>
      </c>
      <c r="E38" s="25" t="s">
        <v>1756</v>
      </c>
      <c r="F38" s="24">
        <v>335.33493076000002</v>
      </c>
      <c r="G38" s="24">
        <v>258.54453833859736</v>
      </c>
      <c r="H38" s="12" t="str">
        <f t="shared" si="15"/>
        <v>-</v>
      </c>
      <c r="I38" s="12">
        <f t="shared" si="16"/>
        <v>0.41188709582674798</v>
      </c>
      <c r="J38" s="12">
        <f t="shared" si="17"/>
        <v>0.23721150225296261</v>
      </c>
      <c r="K38" s="4" t="str">
        <f t="shared" si="8"/>
        <v>-</v>
      </c>
      <c r="L38" s="12">
        <v>0.22899610323137412</v>
      </c>
      <c r="O38" s="18" t="s">
        <v>1756</v>
      </c>
      <c r="P38" s="20">
        <v>197.2148</v>
      </c>
      <c r="Q38" s="18" t="str">
        <f t="shared" si="9"/>
        <v>-</v>
      </c>
      <c r="R38" s="18" t="str">
        <f t="shared" si="9"/>
        <v>-</v>
      </c>
      <c r="T38" s="12"/>
      <c r="W38" s="24">
        <f t="shared" si="6"/>
        <v>335.33493076000002</v>
      </c>
      <c r="X38" s="33" t="s">
        <v>595</v>
      </c>
      <c r="Y38" t="s">
        <v>1797</v>
      </c>
      <c r="Z38" s="13">
        <v>324.79169230152337</v>
      </c>
      <c r="AA38" s="13">
        <v>288.24939645475501</v>
      </c>
      <c r="AB38" s="13">
        <v>258.54453833859736</v>
      </c>
      <c r="AC38" s="12">
        <f t="shared" si="19"/>
        <v>0.20396812952169002</v>
      </c>
      <c r="AD38" s="4">
        <f t="shared" si="20"/>
        <v>0.10305262901329358</v>
      </c>
    </row>
    <row r="39" spans="2:30" x14ac:dyDescent="0.3">
      <c r="B39" s="33"/>
      <c r="C39" t="s">
        <v>1798</v>
      </c>
      <c r="D39" s="22">
        <v>210.30590000000001</v>
      </c>
      <c r="E39" s="25" t="s">
        <v>1756</v>
      </c>
      <c r="F39" s="24">
        <v>346.54478344</v>
      </c>
      <c r="G39" s="24">
        <v>265.61777859962569</v>
      </c>
      <c r="H39" s="12" t="str">
        <f t="shared" si="15"/>
        <v>-</v>
      </c>
      <c r="I39" s="12">
        <f t="shared" si="16"/>
        <v>0.39313500000668195</v>
      </c>
      <c r="J39" s="12">
        <f t="shared" si="17"/>
        <v>0.20823861599640542</v>
      </c>
      <c r="K39" s="4" t="str">
        <f t="shared" si="8"/>
        <v>-</v>
      </c>
      <c r="L39" s="12">
        <v>0.23352538750416893</v>
      </c>
      <c r="O39" s="18" t="s">
        <v>1756</v>
      </c>
      <c r="P39" s="20">
        <v>210.30590000000001</v>
      </c>
      <c r="Q39" s="18" t="str">
        <f t="shared" si="9"/>
        <v>-</v>
      </c>
      <c r="R39" s="18" t="str">
        <f t="shared" si="9"/>
        <v>-</v>
      </c>
      <c r="T39" s="12"/>
      <c r="W39" s="24">
        <f t="shared" si="6"/>
        <v>346.54478344</v>
      </c>
      <c r="X39" s="33"/>
      <c r="Y39" t="s">
        <v>1798</v>
      </c>
      <c r="Z39" s="13">
        <v>338.10142246124013</v>
      </c>
      <c r="AA39" s="13">
        <v>292.07670099049051</v>
      </c>
      <c r="AB39" s="13">
        <v>265.61777859962569</v>
      </c>
      <c r="AC39" s="12">
        <f t="shared" si="19"/>
        <v>0.21438432093530735</v>
      </c>
      <c r="AD39" s="4">
        <f t="shared" si="20"/>
        <v>9.0588952494797828E-2</v>
      </c>
    </row>
    <row r="40" spans="2:30" x14ac:dyDescent="0.3">
      <c r="B40" s="33"/>
      <c r="C40" t="s">
        <v>1799</v>
      </c>
      <c r="D40" s="22">
        <v>200.89769999999999</v>
      </c>
      <c r="E40" s="25" t="s">
        <v>1756</v>
      </c>
      <c r="F40" s="24">
        <v>347.01160298999997</v>
      </c>
      <c r="G40" s="24">
        <v>252.60528065743807</v>
      </c>
      <c r="H40" s="12" t="str">
        <f t="shared" ref="H40:H47" si="21">IFERROR((E40-$D40)/E40,"-")</f>
        <v>-</v>
      </c>
      <c r="I40" s="12">
        <f t="shared" ref="I40:I47" si="22">IFERROR((F40-$D40)/F40,"-")</f>
        <v>0.42106345070602907</v>
      </c>
      <c r="J40" s="12">
        <f t="shared" ref="J40:J47" si="23">IFERROR((G40-$D40)/G40,"-")</f>
        <v>0.20469714854282692</v>
      </c>
      <c r="K40" s="4" t="str">
        <f t="shared" si="8"/>
        <v>-</v>
      </c>
      <c r="L40" s="12">
        <v>0.27205523250265051</v>
      </c>
      <c r="O40" s="18" t="s">
        <v>1756</v>
      </c>
      <c r="P40" s="20">
        <v>200.89769999999999</v>
      </c>
      <c r="Q40" s="18" t="str">
        <f t="shared" si="9"/>
        <v>-</v>
      </c>
      <c r="R40" s="18" t="str">
        <f t="shared" si="9"/>
        <v>-</v>
      </c>
      <c r="T40" s="12"/>
      <c r="W40" s="24">
        <f t="shared" si="6"/>
        <v>347.01160298999997</v>
      </c>
      <c r="X40" s="33"/>
      <c r="Y40" t="s">
        <v>1799</v>
      </c>
      <c r="Z40" s="13">
        <v>337.54761531325056</v>
      </c>
      <c r="AA40" s="13">
        <v>322.45315191368309</v>
      </c>
      <c r="AB40" s="13">
        <v>252.60528065743807</v>
      </c>
      <c r="AC40" s="12">
        <f t="shared" si="19"/>
        <v>0.25164548882084203</v>
      </c>
      <c r="AD40" s="4">
        <f t="shared" si="20"/>
        <v>0.2166140130487621</v>
      </c>
    </row>
    <row r="41" spans="2:30" x14ac:dyDescent="0.3">
      <c r="B41" s="33"/>
      <c r="C41" t="s">
        <v>1800</v>
      </c>
      <c r="D41" s="22">
        <v>215.86070000000001</v>
      </c>
      <c r="E41" s="25" t="s">
        <v>1756</v>
      </c>
      <c r="F41" s="24">
        <v>348.67897973999999</v>
      </c>
      <c r="G41" s="24">
        <v>280.69345257135177</v>
      </c>
      <c r="H41" s="12" t="str">
        <f t="shared" si="21"/>
        <v>-</v>
      </c>
      <c r="I41" s="12">
        <f t="shared" si="22"/>
        <v>0.38091851662247833</v>
      </c>
      <c r="J41" s="12">
        <f t="shared" si="23"/>
        <v>0.23097351212661932</v>
      </c>
      <c r="K41" s="4" t="str">
        <f t="shared" si="8"/>
        <v>-</v>
      </c>
      <c r="L41" s="12">
        <v>0.19498028593333355</v>
      </c>
      <c r="O41" s="18" t="s">
        <v>1756</v>
      </c>
      <c r="P41" s="20">
        <v>215.86070000000001</v>
      </c>
      <c r="Q41" s="18" t="str">
        <f t="shared" si="9"/>
        <v>-</v>
      </c>
      <c r="R41" s="18" t="str">
        <f t="shared" si="9"/>
        <v>-</v>
      </c>
      <c r="T41" s="12"/>
      <c r="W41" s="24">
        <f t="shared" si="6"/>
        <v>348.67897973999999</v>
      </c>
      <c r="X41" s="33"/>
      <c r="Y41" t="s">
        <v>1800</v>
      </c>
      <c r="Z41" s="13">
        <v>336.4004596942421</v>
      </c>
      <c r="AA41" s="13">
        <v>293.32710989082091</v>
      </c>
      <c r="AB41" s="13">
        <v>280.69345257135177</v>
      </c>
      <c r="AC41" s="12">
        <f t="shared" si="19"/>
        <v>0.16559729785602259</v>
      </c>
      <c r="AD41" s="4">
        <f t="shared" si="20"/>
        <v>4.3070200105852822E-2</v>
      </c>
    </row>
    <row r="42" spans="2:30" x14ac:dyDescent="0.3">
      <c r="B42" s="33"/>
      <c r="C42" t="s">
        <v>1801</v>
      </c>
      <c r="D42" s="25" t="s">
        <v>1756</v>
      </c>
      <c r="E42" s="25" t="s">
        <v>1756</v>
      </c>
      <c r="F42" s="24">
        <v>396.54088689999998</v>
      </c>
      <c r="G42" s="24">
        <v>295.91031548807416</v>
      </c>
      <c r="H42" s="12" t="str">
        <f t="shared" si="21"/>
        <v>-</v>
      </c>
      <c r="I42" s="12" t="str">
        <f t="shared" si="22"/>
        <v>-</v>
      </c>
      <c r="J42" s="12" t="str">
        <f t="shared" si="23"/>
        <v>-</v>
      </c>
      <c r="K42" s="4" t="str">
        <f t="shared" si="8"/>
        <v>-</v>
      </c>
      <c r="L42" s="12">
        <v>0.25377098487526939</v>
      </c>
      <c r="O42" s="18" t="s">
        <v>1756</v>
      </c>
      <c r="P42" s="21" t="s">
        <v>1756</v>
      </c>
      <c r="Q42" s="18" t="str">
        <f t="shared" si="9"/>
        <v>-</v>
      </c>
      <c r="R42" s="18" t="str">
        <f t="shared" si="9"/>
        <v>-</v>
      </c>
      <c r="T42" s="12"/>
      <c r="W42" s="24">
        <f t="shared" si="6"/>
        <v>396.54088689999998</v>
      </c>
      <c r="X42" s="33"/>
      <c r="Y42" t="s">
        <v>1801</v>
      </c>
      <c r="Z42" s="13">
        <v>386.31896932749197</v>
      </c>
      <c r="AA42" s="13">
        <v>337.10442587511358</v>
      </c>
      <c r="AB42" s="13">
        <v>295.91031548807416</v>
      </c>
      <c r="AC42" s="12">
        <f t="shared" si="19"/>
        <v>0.2340259242169809</v>
      </c>
      <c r="AD42" s="4">
        <f t="shared" si="20"/>
        <v>0.12219985032857598</v>
      </c>
    </row>
    <row r="43" spans="2:30" x14ac:dyDescent="0.3">
      <c r="B43" s="33" t="s">
        <v>1940</v>
      </c>
      <c r="C43" t="s">
        <v>1935</v>
      </c>
      <c r="D43" s="21">
        <v>267.83370000000002</v>
      </c>
      <c r="E43" s="25" t="s">
        <v>1756</v>
      </c>
      <c r="F43" s="24">
        <v>387.93392333999998</v>
      </c>
      <c r="G43" s="24">
        <v>328.88488801142933</v>
      </c>
      <c r="H43" s="12" t="str">
        <f t="shared" si="21"/>
        <v>-</v>
      </c>
      <c r="I43" s="12">
        <f t="shared" si="22"/>
        <v>0.30958938137188785</v>
      </c>
      <c r="J43" s="12">
        <f t="shared" si="23"/>
        <v>0.18563087036491524</v>
      </c>
      <c r="K43" s="4" t="str">
        <f t="shared" si="8"/>
        <v>-</v>
      </c>
      <c r="L43" s="4">
        <f t="shared" si="8"/>
        <v>0.15221415755594503</v>
      </c>
      <c r="O43" s="18" t="s">
        <v>1756</v>
      </c>
      <c r="P43" s="21">
        <v>267.83370000000002</v>
      </c>
      <c r="Q43" s="18"/>
      <c r="R43" s="18"/>
      <c r="T43" s="12"/>
      <c r="W43" s="24">
        <f t="shared" si="6"/>
        <v>387.93392333999998</v>
      </c>
      <c r="X43" s="33" t="s">
        <v>1940</v>
      </c>
      <c r="Y43" t="s">
        <v>1935</v>
      </c>
      <c r="Z43" s="13">
        <v>378.92400822640354</v>
      </c>
      <c r="AA43" s="13">
        <v>352.58550772426787</v>
      </c>
      <c r="AB43" s="24">
        <v>328.88488801142933</v>
      </c>
      <c r="AC43" s="12">
        <f t="shared" si="19"/>
        <v>0.13205581892049531</v>
      </c>
      <c r="AD43" s="4">
        <f t="shared" si="20"/>
        <v>6.7219494827828033E-2</v>
      </c>
    </row>
    <row r="44" spans="2:30" x14ac:dyDescent="0.3">
      <c r="B44" s="33"/>
      <c r="C44" t="s">
        <v>1936</v>
      </c>
      <c r="D44" s="21">
        <v>287.98559999999998</v>
      </c>
      <c r="E44" s="25" t="s">
        <v>1756</v>
      </c>
      <c r="F44" s="24">
        <v>484.42109742999997</v>
      </c>
      <c r="G44" s="24">
        <v>388.12634309343548</v>
      </c>
      <c r="H44" s="12" t="str">
        <f t="shared" si="21"/>
        <v>-</v>
      </c>
      <c r="I44" s="12">
        <f t="shared" si="22"/>
        <v>0.40550566123595683</v>
      </c>
      <c r="J44" s="12">
        <f t="shared" si="23"/>
        <v>0.25801068357096324</v>
      </c>
      <c r="K44" s="4" t="str">
        <f t="shared" si="8"/>
        <v>-</v>
      </c>
      <c r="L44" s="4">
        <f t="shared" si="8"/>
        <v>0.19878315549722589</v>
      </c>
      <c r="O44" s="18" t="s">
        <v>1756</v>
      </c>
      <c r="P44" s="21">
        <v>287.98559999999998</v>
      </c>
      <c r="Q44" s="18"/>
      <c r="R44" s="18"/>
      <c r="T44" s="12"/>
      <c r="W44" s="24">
        <f t="shared" si="6"/>
        <v>484.42109742999997</v>
      </c>
      <c r="X44" s="33"/>
      <c r="Y44" t="s">
        <v>1936</v>
      </c>
      <c r="Z44" s="13">
        <v>475.87326664797172</v>
      </c>
      <c r="AA44" s="13">
        <v>434.44476397121673</v>
      </c>
      <c r="AB44" s="24">
        <v>388.12634309343548</v>
      </c>
      <c r="AC44" s="12">
        <f t="shared" si="19"/>
        <v>0.18439136993893632</v>
      </c>
      <c r="AD44" s="4">
        <f t="shared" si="20"/>
        <v>0.10661521260928347</v>
      </c>
    </row>
    <row r="45" spans="2:30" x14ac:dyDescent="0.3">
      <c r="B45" s="33"/>
      <c r="C45" t="s">
        <v>1937</v>
      </c>
      <c r="D45" s="21">
        <v>275.36169999999998</v>
      </c>
      <c r="E45" s="25" t="s">
        <v>1756</v>
      </c>
      <c r="F45" s="24">
        <v>457.25276130999998</v>
      </c>
      <c r="G45" s="24">
        <v>370.57175348148411</v>
      </c>
      <c r="H45" s="12" t="str">
        <f t="shared" si="21"/>
        <v>-</v>
      </c>
      <c r="I45" s="12">
        <f t="shared" si="22"/>
        <v>0.3977910615321244</v>
      </c>
      <c r="J45" s="12">
        <f t="shared" si="23"/>
        <v>0.25692744411033847</v>
      </c>
      <c r="K45" s="4" t="str">
        <f t="shared" si="8"/>
        <v>-</v>
      </c>
      <c r="L45" s="4">
        <f t="shared" si="8"/>
        <v>0.18956912929334821</v>
      </c>
      <c r="O45" s="18" t="s">
        <v>1756</v>
      </c>
      <c r="P45" s="21">
        <v>275.36169999999998</v>
      </c>
      <c r="Q45" s="18"/>
      <c r="R45" s="18"/>
      <c r="T45" s="12"/>
      <c r="W45" s="24">
        <f t="shared" si="6"/>
        <v>457.25276130999998</v>
      </c>
      <c r="X45" s="33"/>
      <c r="Y45" t="s">
        <v>1937</v>
      </c>
      <c r="Z45" s="13">
        <v>447.36652871115837</v>
      </c>
      <c r="AA45" s="13">
        <v>439.33158638710199</v>
      </c>
      <c r="AB45" s="24">
        <v>370.57175348148411</v>
      </c>
      <c r="AC45" s="12">
        <f t="shared" si="19"/>
        <v>0.17165963544683671</v>
      </c>
      <c r="AD45" s="4">
        <f t="shared" si="20"/>
        <v>0.15651010543328545</v>
      </c>
    </row>
    <row r="46" spans="2:30" x14ac:dyDescent="0.3">
      <c r="B46" s="33"/>
      <c r="C46" t="s">
        <v>1938</v>
      </c>
      <c r="D46" s="21">
        <v>259.3408</v>
      </c>
      <c r="E46" s="25" t="s">
        <v>1756</v>
      </c>
      <c r="F46" s="24">
        <v>419.09047784000001</v>
      </c>
      <c r="G46" s="24">
        <v>325.84439678275163</v>
      </c>
      <c r="H46" s="12" t="str">
        <f t="shared" si="21"/>
        <v>-</v>
      </c>
      <c r="I46" s="12">
        <f t="shared" si="22"/>
        <v>0.38118183611174555</v>
      </c>
      <c r="J46" s="12">
        <f t="shared" si="23"/>
        <v>0.20409618038358104</v>
      </c>
      <c r="K46" s="4" t="str">
        <f t="shared" si="8"/>
        <v>-</v>
      </c>
      <c r="L46" s="4">
        <f t="shared" si="8"/>
        <v>0.22249630088910724</v>
      </c>
      <c r="O46" s="18" t="s">
        <v>1756</v>
      </c>
      <c r="P46" s="21">
        <v>259.3408</v>
      </c>
      <c r="Q46" s="18"/>
      <c r="R46" s="18"/>
      <c r="T46" s="12"/>
      <c r="W46" s="24">
        <f t="shared" si="6"/>
        <v>419.09047784000001</v>
      </c>
      <c r="X46" s="33"/>
      <c r="Y46" t="s">
        <v>1938</v>
      </c>
      <c r="Z46" s="13">
        <v>408.26767612516005</v>
      </c>
      <c r="AA46" s="13">
        <v>379.86534804127837</v>
      </c>
      <c r="AB46" s="24">
        <v>325.84439678275163</v>
      </c>
      <c r="AC46" s="12">
        <f t="shared" si="19"/>
        <v>0.20188539079233997</v>
      </c>
      <c r="AD46" s="4">
        <f t="shared" si="20"/>
        <v>0.1422107900525228</v>
      </c>
    </row>
    <row r="47" spans="2:30" x14ac:dyDescent="0.3">
      <c r="B47" s="33"/>
      <c r="C47" t="s">
        <v>1939</v>
      </c>
      <c r="D47" s="21">
        <v>216.4254</v>
      </c>
      <c r="E47" s="25" t="s">
        <v>1756</v>
      </c>
      <c r="F47" s="24">
        <v>404.35979653999999</v>
      </c>
      <c r="G47" s="24">
        <v>283.65999110412207</v>
      </c>
      <c r="H47" s="12" t="str">
        <f t="shared" si="21"/>
        <v>-</v>
      </c>
      <c r="I47" s="12">
        <f t="shared" si="22"/>
        <v>0.46477023222413555</v>
      </c>
      <c r="J47" s="12">
        <f t="shared" si="23"/>
        <v>0.23702528806553658</v>
      </c>
      <c r="K47" s="4" t="str">
        <f t="shared" ref="K47" si="24">IFERROR((E47-$G47)/E47,"-")</f>
        <v>-</v>
      </c>
      <c r="L47" s="4">
        <f t="shared" ref="L47" si="25">IFERROR((F47-$G47)/F47,"-")</f>
        <v>0.29849605838333654</v>
      </c>
      <c r="O47" s="18" t="s">
        <v>1756</v>
      </c>
      <c r="P47" s="21">
        <v>216.4254</v>
      </c>
      <c r="Q47" s="18"/>
      <c r="R47" s="18"/>
      <c r="T47" s="12"/>
      <c r="W47" s="24">
        <f t="shared" si="6"/>
        <v>404.35979653999999</v>
      </c>
      <c r="X47" s="33"/>
      <c r="Y47" t="s">
        <v>1939</v>
      </c>
      <c r="Z47" s="13">
        <v>397.39577738440704</v>
      </c>
      <c r="AA47" s="13">
        <v>293.56109496872045</v>
      </c>
      <c r="AB47" s="24">
        <v>283.65999110412207</v>
      </c>
      <c r="AC47" s="12">
        <f t="shared" si="19"/>
        <v>0.2862028052458811</v>
      </c>
      <c r="AD47" s="4">
        <f t="shared" si="20"/>
        <v>3.3727575057769035E-2</v>
      </c>
    </row>
    <row r="48" spans="2:30" x14ac:dyDescent="0.3">
      <c r="B48" s="33" t="s">
        <v>597</v>
      </c>
      <c r="C48" t="s">
        <v>1802</v>
      </c>
      <c r="D48" s="22">
        <v>308.32679999999999</v>
      </c>
      <c r="E48" s="25" t="s">
        <v>1756</v>
      </c>
      <c r="F48" s="24">
        <v>512.01876425</v>
      </c>
      <c r="G48" s="24">
        <v>396.1062298661318</v>
      </c>
      <c r="H48" s="12" t="str">
        <f t="shared" si="0"/>
        <v>-</v>
      </c>
      <c r="I48" s="12">
        <f t="shared" si="1"/>
        <v>0.39782128795292487</v>
      </c>
      <c r="J48" s="12">
        <f t="shared" si="2"/>
        <v>0.22160577958038624</v>
      </c>
      <c r="K48" s="4" t="str">
        <f t="shared" si="8"/>
        <v>-</v>
      </c>
      <c r="L48" s="12">
        <v>0.22638337201109365</v>
      </c>
      <c r="O48" s="18" t="s">
        <v>1756</v>
      </c>
      <c r="P48" s="20">
        <v>308.32679999999999</v>
      </c>
      <c r="Q48" s="18" t="str">
        <f t="shared" si="9"/>
        <v>-</v>
      </c>
      <c r="R48" s="18" t="str">
        <f t="shared" si="9"/>
        <v>-</v>
      </c>
      <c r="T48" s="12"/>
      <c r="W48" s="24">
        <f t="shared" si="6"/>
        <v>512.01876425</v>
      </c>
      <c r="X48" s="33" t="s">
        <v>597</v>
      </c>
      <c r="Y48" t="s">
        <v>1802</v>
      </c>
      <c r="Z48" s="13">
        <v>512.01876424889235</v>
      </c>
      <c r="AA48" s="13">
        <v>470.00850554313564</v>
      </c>
      <c r="AB48" s="13">
        <v>396.1062298661318</v>
      </c>
      <c r="AC48" s="12">
        <f t="shared" si="19"/>
        <v>0.22638337200942008</v>
      </c>
      <c r="AD48" s="4">
        <f t="shared" si="20"/>
        <v>0.15723603893423874</v>
      </c>
    </row>
    <row r="49" spans="1:30" x14ac:dyDescent="0.3">
      <c r="B49" s="33"/>
      <c r="C49" t="s">
        <v>1803</v>
      </c>
      <c r="D49" s="22">
        <v>276.31970000000001</v>
      </c>
      <c r="E49" s="25" t="s">
        <v>1756</v>
      </c>
      <c r="F49" s="24">
        <v>505.60775784999998</v>
      </c>
      <c r="G49" s="24">
        <v>372.2120198442268</v>
      </c>
      <c r="H49" s="12" t="str">
        <f t="shared" si="0"/>
        <v>-</v>
      </c>
      <c r="I49" s="12">
        <f t="shared" si="1"/>
        <v>0.45348999157964559</v>
      </c>
      <c r="J49" s="12">
        <f t="shared" si="2"/>
        <v>0.25762821921860118</v>
      </c>
      <c r="K49" s="4" t="str">
        <f t="shared" si="8"/>
        <v>-</v>
      </c>
      <c r="L49" s="12">
        <v>0.26383245892628898</v>
      </c>
      <c r="O49" s="18" t="s">
        <v>1756</v>
      </c>
      <c r="P49" s="20">
        <v>276.31970000000001</v>
      </c>
      <c r="Q49" s="18" t="str">
        <f t="shared" si="9"/>
        <v>-</v>
      </c>
      <c r="R49" s="18" t="str">
        <f t="shared" si="9"/>
        <v>-</v>
      </c>
      <c r="T49" s="12"/>
      <c r="W49" s="24">
        <f t="shared" si="6"/>
        <v>505.60775784999998</v>
      </c>
      <c r="X49" s="33"/>
      <c r="Y49" t="s">
        <v>1803</v>
      </c>
      <c r="Z49" s="13">
        <v>493.06308198393799</v>
      </c>
      <c r="AA49" s="13">
        <v>467.25810398684257</v>
      </c>
      <c r="AB49" s="13">
        <v>372.2120198442268</v>
      </c>
      <c r="AC49" s="12">
        <f t="shared" si="19"/>
        <v>0.24510263809134269</v>
      </c>
      <c r="AD49" s="4">
        <f t="shared" si="20"/>
        <v>0.20341238243198487</v>
      </c>
    </row>
    <row r="50" spans="1:30" x14ac:dyDescent="0.3">
      <c r="B50" s="33"/>
      <c r="C50" t="s">
        <v>1804</v>
      </c>
      <c r="D50" s="22">
        <v>302.69369999999998</v>
      </c>
      <c r="E50" s="25" t="s">
        <v>1756</v>
      </c>
      <c r="F50" s="24">
        <v>485.95009041999998</v>
      </c>
      <c r="G50" s="24">
        <v>380.47026685783743</v>
      </c>
      <c r="H50" s="12" t="str">
        <f t="shared" si="0"/>
        <v>-</v>
      </c>
      <c r="I50" s="12">
        <f t="shared" si="1"/>
        <v>0.37710948929264326</v>
      </c>
      <c r="J50" s="12">
        <f t="shared" si="2"/>
        <v>0.20442219440737175</v>
      </c>
      <c r="K50" s="4" t="str">
        <f t="shared" si="8"/>
        <v>-</v>
      </c>
      <c r="L50" s="12">
        <v>0.21705896478174908</v>
      </c>
      <c r="O50" s="18" t="s">
        <v>1756</v>
      </c>
      <c r="P50" s="20">
        <v>302.69369999999998</v>
      </c>
      <c r="Q50" s="18" t="str">
        <f t="shared" si="9"/>
        <v>-</v>
      </c>
      <c r="R50" s="18" t="str">
        <f t="shared" si="9"/>
        <v>-</v>
      </c>
      <c r="T50" s="12"/>
      <c r="W50" s="24">
        <f t="shared" si="6"/>
        <v>485.95009041999998</v>
      </c>
      <c r="X50" s="33"/>
      <c r="Y50" t="s">
        <v>1804</v>
      </c>
      <c r="Z50" s="13">
        <v>462.66549612787236</v>
      </c>
      <c r="AA50" s="13">
        <v>396.84192610446109</v>
      </c>
      <c r="AB50" s="13">
        <v>380.47026685783743</v>
      </c>
      <c r="AC50" s="12">
        <f t="shared" ref="AC50:AC52" si="26">(Z50-$AB50)/Z50</f>
        <v>0.17765584414213084</v>
      </c>
      <c r="AD50" s="4">
        <f t="shared" ref="AD50:AD52" si="27">(AA50-$AB50)/AA50</f>
        <v>4.125486288037554E-2</v>
      </c>
    </row>
    <row r="51" spans="1:30" x14ac:dyDescent="0.3">
      <c r="B51" s="33"/>
      <c r="C51" t="s">
        <v>1805</v>
      </c>
      <c r="D51" s="22">
        <v>288.69060000000002</v>
      </c>
      <c r="E51" s="25" t="s">
        <v>1756</v>
      </c>
      <c r="F51" s="24">
        <v>459.95525519</v>
      </c>
      <c r="G51" s="24">
        <v>355.96800589413823</v>
      </c>
      <c r="H51" s="12" t="str">
        <f t="shared" si="0"/>
        <v>-</v>
      </c>
      <c r="I51" s="12">
        <f t="shared" si="1"/>
        <v>0.37235068684942702</v>
      </c>
      <c r="J51" s="12">
        <f t="shared" si="2"/>
        <v>0.18899846272742254</v>
      </c>
      <c r="K51" s="4" t="str">
        <f t="shared" si="8"/>
        <v>-</v>
      </c>
      <c r="L51" s="12">
        <v>0.22608122882063025</v>
      </c>
      <c r="O51" s="18" t="s">
        <v>1756</v>
      </c>
      <c r="P51" s="20">
        <v>288.69060000000002</v>
      </c>
      <c r="Q51" s="18" t="str">
        <f t="shared" si="9"/>
        <v>-</v>
      </c>
      <c r="R51" s="18" t="str">
        <f t="shared" si="9"/>
        <v>-</v>
      </c>
      <c r="T51" s="12"/>
      <c r="W51" s="24">
        <f t="shared" si="6"/>
        <v>459.95525519</v>
      </c>
      <c r="X51" s="33"/>
      <c r="Y51" t="s">
        <v>1805</v>
      </c>
      <c r="Z51" s="13">
        <v>452.15871014547923</v>
      </c>
      <c r="AA51" s="13">
        <v>429.10312486738792</v>
      </c>
      <c r="AB51" s="13">
        <v>355.96800589413823</v>
      </c>
      <c r="AC51" s="12">
        <f t="shared" si="26"/>
        <v>0.21273659468020034</v>
      </c>
      <c r="AD51" s="4">
        <f t="shared" si="27"/>
        <v>0.17043716238573586</v>
      </c>
    </row>
    <row r="52" spans="1:30" x14ac:dyDescent="0.3">
      <c r="B52" s="33"/>
      <c r="C52" t="s">
        <v>1806</v>
      </c>
      <c r="D52" s="22">
        <v>289.44619999999998</v>
      </c>
      <c r="E52" s="25" t="s">
        <v>1756</v>
      </c>
      <c r="F52" s="24">
        <v>496.29280845</v>
      </c>
      <c r="G52" s="24">
        <v>353.14750299095687</v>
      </c>
      <c r="H52" s="12" t="str">
        <f t="shared" si="0"/>
        <v>-</v>
      </c>
      <c r="I52" s="12">
        <f t="shared" si="1"/>
        <v>0.41678340876228753</v>
      </c>
      <c r="J52" s="12">
        <f t="shared" si="2"/>
        <v>0.18038157554971612</v>
      </c>
      <c r="K52" s="4" t="str">
        <f t="shared" si="8"/>
        <v>-</v>
      </c>
      <c r="L52" s="12">
        <v>0.28842913502234352</v>
      </c>
      <c r="M52" s="27">
        <f>MIN(L13:L52)</f>
        <v>0.15221415755594503</v>
      </c>
      <c r="O52" s="18" t="s">
        <v>1756</v>
      </c>
      <c r="P52" s="20">
        <v>289.44619999999998</v>
      </c>
      <c r="Q52" s="18" t="str">
        <f t="shared" si="9"/>
        <v>-</v>
      </c>
      <c r="R52" s="18" t="str">
        <f t="shared" si="9"/>
        <v>-</v>
      </c>
      <c r="T52" s="12"/>
      <c r="W52" s="24">
        <f t="shared" si="6"/>
        <v>496.29280845</v>
      </c>
      <c r="X52" s="33"/>
      <c r="Y52" t="s">
        <v>1806</v>
      </c>
      <c r="Z52" s="13">
        <v>487.9726660085289</v>
      </c>
      <c r="AA52" s="13">
        <v>393.01949209820719</v>
      </c>
      <c r="AB52" s="13">
        <v>353.14750299095687</v>
      </c>
      <c r="AC52" s="12">
        <f t="shared" si="26"/>
        <v>0.2762965477562539</v>
      </c>
      <c r="AD52" s="4">
        <f t="shared" si="27"/>
        <v>0.1014504112617579</v>
      </c>
    </row>
    <row r="53" spans="1:30" x14ac:dyDescent="0.3">
      <c r="B53" s="32"/>
      <c r="D53" s="22"/>
      <c r="E53" s="25"/>
      <c r="F53" s="24"/>
      <c r="G53" s="24"/>
      <c r="H53" s="12"/>
      <c r="I53" s="12"/>
      <c r="J53" s="12"/>
      <c r="K53" s="18"/>
      <c r="L53" s="12"/>
      <c r="M53" s="27">
        <f>MAX(L13:L52)</f>
        <v>0.37759772085825499</v>
      </c>
      <c r="O53" s="18"/>
      <c r="P53" s="20"/>
      <c r="Q53" s="18"/>
      <c r="R53" s="18"/>
      <c r="T53" s="12"/>
      <c r="W53" s="24"/>
      <c r="X53" s="32"/>
      <c r="Z53" s="13"/>
      <c r="AA53" s="13"/>
      <c r="AB53" s="13"/>
      <c r="AC53" s="12"/>
      <c r="AD53" s="4"/>
    </row>
    <row r="54" spans="1:30" x14ac:dyDescent="0.3">
      <c r="B54" s="32"/>
      <c r="D54" s="22"/>
      <c r="E54" s="25"/>
      <c r="F54" s="24"/>
      <c r="G54" s="24"/>
      <c r="H54" s="12"/>
      <c r="I54" s="12"/>
      <c r="J54" s="12"/>
      <c r="K54" s="18"/>
      <c r="L54" s="12"/>
      <c r="O54" s="18"/>
      <c r="P54" s="20"/>
      <c r="Q54" s="18"/>
      <c r="R54" s="18"/>
      <c r="T54" s="12"/>
      <c r="W54" s="24"/>
      <c r="X54" s="32"/>
      <c r="Z54" s="13"/>
      <c r="AA54" s="13"/>
      <c r="AB54" s="13"/>
      <c r="AC54" s="12"/>
      <c r="AD54" s="4"/>
    </row>
    <row r="55" spans="1:30" x14ac:dyDescent="0.3">
      <c r="B55" s="32"/>
      <c r="D55" s="22"/>
      <c r="E55" s="25"/>
      <c r="F55" s="24"/>
      <c r="G55" s="24"/>
      <c r="H55" s="12"/>
      <c r="I55" s="12"/>
      <c r="J55" s="12"/>
      <c r="K55" s="18"/>
      <c r="L55" s="12"/>
      <c r="O55" s="18"/>
      <c r="P55" s="20"/>
      <c r="Q55" s="18"/>
      <c r="R55" s="18"/>
      <c r="T55" s="12"/>
      <c r="W55" s="24"/>
      <c r="X55" s="32"/>
      <c r="Z55" s="13"/>
      <c r="AA55" s="13"/>
      <c r="AB55" s="13"/>
      <c r="AC55" s="12"/>
      <c r="AD55" s="4"/>
    </row>
    <row r="56" spans="1:30" x14ac:dyDescent="0.3">
      <c r="B56" s="32"/>
      <c r="D56" s="22"/>
      <c r="E56" s="25"/>
      <c r="F56" s="24"/>
      <c r="G56" s="24"/>
      <c r="H56" s="12"/>
      <c r="I56" s="12"/>
      <c r="J56" s="12"/>
      <c r="K56" s="18"/>
      <c r="L56" s="12"/>
      <c r="O56" s="18"/>
      <c r="P56" s="20"/>
      <c r="Q56" s="18"/>
      <c r="R56" s="18"/>
      <c r="T56" s="12"/>
      <c r="W56" s="24"/>
      <c r="X56" s="32"/>
      <c r="Z56" s="13"/>
      <c r="AA56" s="13"/>
      <c r="AB56" s="13"/>
      <c r="AC56" s="12"/>
      <c r="AD56" s="4"/>
    </row>
    <row r="57" spans="1:30" x14ac:dyDescent="0.3">
      <c r="B57" s="32"/>
      <c r="D57" s="22"/>
      <c r="E57" s="25"/>
      <c r="F57" s="24"/>
      <c r="G57" s="24"/>
      <c r="H57" s="12"/>
      <c r="I57" s="12"/>
      <c r="J57" s="12"/>
      <c r="K57" s="18"/>
      <c r="L57" s="12"/>
      <c r="O57" s="18"/>
      <c r="P57" s="20"/>
      <c r="Q57" s="18"/>
      <c r="R57" s="18"/>
      <c r="T57" s="12"/>
      <c r="W57" s="24"/>
      <c r="X57" s="32"/>
      <c r="Z57" s="13"/>
      <c r="AA57" s="13"/>
      <c r="AB57" s="13"/>
      <c r="AC57" s="12"/>
      <c r="AD57" s="4"/>
    </row>
    <row r="58" spans="1:30" x14ac:dyDescent="0.3">
      <c r="B58" s="32"/>
      <c r="D58" s="22"/>
      <c r="E58" s="25"/>
      <c r="F58" s="24"/>
      <c r="G58" s="24"/>
      <c r="H58" s="12"/>
      <c r="I58" s="12"/>
      <c r="J58" s="12"/>
      <c r="K58" s="18"/>
      <c r="L58" s="12"/>
      <c r="O58" s="18"/>
      <c r="P58" s="20"/>
      <c r="Q58" s="18"/>
      <c r="R58" s="18"/>
      <c r="T58" s="12"/>
      <c r="W58" s="24"/>
      <c r="X58" s="32"/>
      <c r="Z58" s="13"/>
      <c r="AA58" s="13"/>
      <c r="AB58" s="13"/>
      <c r="AC58" s="12"/>
      <c r="AD58" s="4"/>
    </row>
    <row r="59" spans="1:30" x14ac:dyDescent="0.3">
      <c r="H59" s="12"/>
      <c r="I59" s="12"/>
      <c r="J59" s="12"/>
      <c r="P59" s="20"/>
      <c r="R59" s="12"/>
      <c r="T59" s="12"/>
      <c r="W59" s="24"/>
    </row>
    <row r="60" spans="1:30" x14ac:dyDescent="0.3">
      <c r="A60" t="s">
        <v>1759</v>
      </c>
      <c r="B60" s="33" t="s">
        <v>90</v>
      </c>
      <c r="C60" s="33"/>
      <c r="D60" s="19" t="s">
        <v>1762</v>
      </c>
      <c r="E60" s="33" t="s">
        <v>827</v>
      </c>
      <c r="F60" s="33"/>
      <c r="G60" s="33"/>
      <c r="H60" s="12"/>
      <c r="I60" s="12"/>
      <c r="J60" s="12"/>
      <c r="K60" s="33" t="s">
        <v>828</v>
      </c>
      <c r="L60" s="33"/>
      <c r="P60" s="20"/>
      <c r="R60" s="12"/>
      <c r="T60" s="12"/>
      <c r="W60" s="24"/>
      <c r="X60" s="33" t="s">
        <v>90</v>
      </c>
      <c r="Y60" s="33"/>
      <c r="Z60" s="33" t="s">
        <v>827</v>
      </c>
      <c r="AA60" s="33"/>
      <c r="AB60" s="33"/>
      <c r="AC60" s="33" t="s">
        <v>828</v>
      </c>
      <c r="AD60" s="33"/>
    </row>
    <row r="61" spans="1:30" x14ac:dyDescent="0.3">
      <c r="B61" t="s">
        <v>816</v>
      </c>
      <c r="C61" t="s">
        <v>817</v>
      </c>
      <c r="D61" t="s">
        <v>1761</v>
      </c>
      <c r="E61" t="s">
        <v>39</v>
      </c>
      <c r="F61" s="16" t="s">
        <v>806</v>
      </c>
      <c r="G61" t="s">
        <v>815</v>
      </c>
      <c r="H61" s="12"/>
      <c r="I61" s="12"/>
      <c r="J61" s="12"/>
      <c r="K61" t="s">
        <v>829</v>
      </c>
      <c r="L61" t="s">
        <v>1695</v>
      </c>
      <c r="O61" s="12" t="s">
        <v>9</v>
      </c>
      <c r="P61" s="20"/>
      <c r="R61" s="12"/>
      <c r="T61" s="12"/>
      <c r="W61" s="24"/>
      <c r="X61" s="19" t="s">
        <v>38</v>
      </c>
      <c r="Y61" s="19" t="s">
        <v>37</v>
      </c>
      <c r="Z61" t="s">
        <v>825</v>
      </c>
      <c r="AA61" s="16" t="s">
        <v>41</v>
      </c>
      <c r="AB61" s="16" t="s">
        <v>40</v>
      </c>
      <c r="AC61" t="s">
        <v>830</v>
      </c>
      <c r="AD61" s="19" t="s">
        <v>1760</v>
      </c>
    </row>
    <row r="62" spans="1:30" x14ac:dyDescent="0.3">
      <c r="B62" s="33" t="s">
        <v>599</v>
      </c>
      <c r="C62" t="s">
        <v>1772</v>
      </c>
      <c r="D62" s="22">
        <v>131.54249999999999</v>
      </c>
      <c r="E62" s="26">
        <v>3871.6275880056887</v>
      </c>
      <c r="F62" s="24">
        <v>323.61072381999998</v>
      </c>
      <c r="G62" s="24">
        <v>225.10988662137976</v>
      </c>
      <c r="H62" s="12">
        <f t="shared" ref="H62:H86" si="28">IFERROR((E62-$D62)/E62,"-")</f>
        <v>0.96602397906050697</v>
      </c>
      <c r="I62" s="12">
        <f t="shared" ref="I62:I86" si="29">IFERROR((F62-$D62)/F62,"-")</f>
        <v>0.59351625172604883</v>
      </c>
      <c r="J62" s="12">
        <f t="shared" ref="J62:J86" si="30">IFERROR((G62-$D62)/G62,"-")</f>
        <v>0.41565205342915057</v>
      </c>
      <c r="K62" s="4">
        <v>0.94185652377342011</v>
      </c>
      <c r="L62" s="4">
        <v>0.30438063373143576</v>
      </c>
      <c r="O62" s="12">
        <v>0.98971554215165969</v>
      </c>
      <c r="P62" s="20">
        <v>131.54249999999999</v>
      </c>
      <c r="Q62">
        <f>(1-O62)*E62</f>
        <v>39.817590733315974</v>
      </c>
      <c r="R62" s="12">
        <f>(E62-P62)/E62</f>
        <v>0.96602397906050697</v>
      </c>
      <c r="S62">
        <v>12790.413200000001</v>
      </c>
      <c r="T62" s="12">
        <f>(S62-P62)/S62</f>
        <v>0.98971553944793589</v>
      </c>
      <c r="W62" s="24">
        <f t="shared" si="6"/>
        <v>323.61072381999998</v>
      </c>
      <c r="X62" s="33" t="s">
        <v>599</v>
      </c>
      <c r="Y62" s="19" t="s">
        <v>1772</v>
      </c>
      <c r="Z62" s="13">
        <v>319.53606947777735</v>
      </c>
      <c r="AA62" s="9">
        <v>236.92127413431751</v>
      </c>
      <c r="AB62" s="9">
        <v>225.10988662137976</v>
      </c>
      <c r="AC62" s="4">
        <v>0.29551024712396234</v>
      </c>
      <c r="AD62" s="4">
        <f t="shared" ref="AD62:AD86" si="31">(AA62-AB62)/AA62</f>
        <v>4.9853638328154266E-2</v>
      </c>
    </row>
    <row r="63" spans="1:30" x14ac:dyDescent="0.3">
      <c r="B63" s="33"/>
      <c r="C63" t="s">
        <v>1773</v>
      </c>
      <c r="D63" s="22">
        <v>151.0796</v>
      </c>
      <c r="E63" s="26">
        <v>300.12227220326088</v>
      </c>
      <c r="F63" s="24">
        <v>338.56669997</v>
      </c>
      <c r="G63" s="24">
        <v>238.98936419206723</v>
      </c>
      <c r="H63" s="12">
        <f t="shared" si="28"/>
        <v>0.49660650343977203</v>
      </c>
      <c r="I63" s="12">
        <f t="shared" si="29"/>
        <v>0.55376710109592298</v>
      </c>
      <c r="J63" s="12">
        <f t="shared" si="30"/>
        <v>0.36783965047673539</v>
      </c>
      <c r="K63" s="4">
        <v>0.20369333992577118</v>
      </c>
      <c r="L63" s="4">
        <v>0.29411438214908969</v>
      </c>
      <c r="O63" s="12">
        <v>0.49660646416000853</v>
      </c>
      <c r="P63" s="20">
        <v>151.0796</v>
      </c>
      <c r="Q63">
        <f>(1-O63)*E63</f>
        <v>151.07961178873188</v>
      </c>
      <c r="R63" s="12">
        <f>(E63-P63)/E63</f>
        <v>0.49660650343977203</v>
      </c>
      <c r="S63">
        <v>300.1223</v>
      </c>
      <c r="T63" s="12">
        <f t="shared" ref="T63:T66" si="32">(S63-P63)/S63</f>
        <v>0.49660655006309096</v>
      </c>
      <c r="W63" s="24">
        <f t="shared" si="6"/>
        <v>300.12227220326088</v>
      </c>
      <c r="X63" s="33"/>
      <c r="Y63" s="19" t="s">
        <v>1773</v>
      </c>
      <c r="Z63" s="13">
        <v>331.50048436174211</v>
      </c>
      <c r="AA63" s="9">
        <v>241.10929739884776</v>
      </c>
      <c r="AB63" s="9">
        <v>238.98936419206723</v>
      </c>
      <c r="AC63" s="4">
        <v>0.27906782805398345</v>
      </c>
      <c r="AD63" s="4">
        <f t="shared" si="31"/>
        <v>8.7924158448095622E-3</v>
      </c>
    </row>
    <row r="64" spans="1:30" x14ac:dyDescent="0.3">
      <c r="B64" s="33"/>
      <c r="C64" t="s">
        <v>1774</v>
      </c>
      <c r="D64" s="22">
        <v>103.3734</v>
      </c>
      <c r="E64" s="26">
        <v>119.32010848375801</v>
      </c>
      <c r="F64" s="24">
        <v>165.01941228999999</v>
      </c>
      <c r="G64" s="24">
        <v>123.24506749593867</v>
      </c>
      <c r="H64" s="12">
        <f t="shared" si="28"/>
        <v>0.13364644640705037</v>
      </c>
      <c r="I64" s="12">
        <f t="shared" si="29"/>
        <v>0.37356824530234783</v>
      </c>
      <c r="J64" s="12">
        <f t="shared" si="30"/>
        <v>0.16123702067503434</v>
      </c>
      <c r="K64" s="4">
        <v>-3.289436342336996E-2</v>
      </c>
      <c r="L64" s="4">
        <v>0.2531480643056005</v>
      </c>
      <c r="O64" s="12">
        <v>8.0908802167131588E-2</v>
      </c>
      <c r="P64" s="20">
        <v>103.3734</v>
      </c>
      <c r="Q64">
        <f>(1-O64)*E64</f>
        <v>109.66606143188496</v>
      </c>
      <c r="R64" s="12">
        <f>(E64-P64)/E64</f>
        <v>0.13364644640705037</v>
      </c>
      <c r="S64">
        <v>119.3201</v>
      </c>
      <c r="T64" s="12">
        <f t="shared" si="32"/>
        <v>0.13364638480859464</v>
      </c>
      <c r="W64" s="24">
        <f t="shared" si="6"/>
        <v>119.32010848375801</v>
      </c>
      <c r="X64" s="33"/>
      <c r="Y64" s="19" t="s">
        <v>1774</v>
      </c>
      <c r="Z64" s="13">
        <v>162.12217431841853</v>
      </c>
      <c r="AA64" s="9">
        <v>123.11756293151566</v>
      </c>
      <c r="AB64" s="9">
        <v>123.24506749593867</v>
      </c>
      <c r="AC64" s="4">
        <v>0.23980129174755999</v>
      </c>
      <c r="AD64" s="4">
        <f t="shared" si="31"/>
        <v>-1.0356326212689151E-3</v>
      </c>
    </row>
    <row r="65" spans="2:30" x14ac:dyDescent="0.3">
      <c r="B65" s="33"/>
      <c r="C65" t="s">
        <v>1775</v>
      </c>
      <c r="D65" s="22">
        <v>114.03449999999999</v>
      </c>
      <c r="E65" s="26">
        <v>123.83911959795853</v>
      </c>
      <c r="F65" s="24">
        <v>147.71197531999999</v>
      </c>
      <c r="G65" s="24">
        <v>127.98914761587699</v>
      </c>
      <c r="H65" s="12">
        <f t="shared" si="28"/>
        <v>7.9172232730570558E-2</v>
      </c>
      <c r="I65" s="12">
        <f t="shared" si="29"/>
        <v>0.22799421134976938</v>
      </c>
      <c r="J65" s="12">
        <f t="shared" si="30"/>
        <v>0.1090299285198609</v>
      </c>
      <c r="K65" s="4">
        <v>-3.3511446394252881E-2</v>
      </c>
      <c r="L65" s="4">
        <v>0.13352219859896872</v>
      </c>
      <c r="O65" s="12">
        <v>7.9172236703176774E-2</v>
      </c>
      <c r="P65" s="20">
        <v>114.03449999999999</v>
      </c>
      <c r="Q65">
        <f>(1-O65)*E65</f>
        <v>114.03449950803594</v>
      </c>
      <c r="R65" s="12">
        <f>(E65-P65)/E65</f>
        <v>7.9172232730570558E-2</v>
      </c>
      <c r="S65">
        <v>123.8391</v>
      </c>
      <c r="T65" s="12">
        <f t="shared" si="32"/>
        <v>7.9172087006446332E-2</v>
      </c>
      <c r="W65" s="24">
        <f t="shared" si="6"/>
        <v>123.83911959795853</v>
      </c>
      <c r="X65" s="33"/>
      <c r="Y65" s="19" t="s">
        <v>1775</v>
      </c>
      <c r="Z65" s="13">
        <v>143.49692738316031</v>
      </c>
      <c r="AA65" s="9">
        <v>128.742257434697</v>
      </c>
      <c r="AB65" s="9">
        <v>127.98914761587699</v>
      </c>
      <c r="AC65" s="4">
        <v>0.10807046568931063</v>
      </c>
      <c r="AD65" s="4">
        <f t="shared" si="31"/>
        <v>5.8497484340137018E-3</v>
      </c>
    </row>
    <row r="66" spans="2:30" x14ac:dyDescent="0.3">
      <c r="B66" s="33"/>
      <c r="C66" t="s">
        <v>1776</v>
      </c>
      <c r="D66" s="22">
        <v>145.7363</v>
      </c>
      <c r="E66" s="26">
        <v>3862.8415668764387</v>
      </c>
      <c r="F66" s="24">
        <v>307.55923868999997</v>
      </c>
      <c r="G66" s="24">
        <v>216.13564150369564</v>
      </c>
      <c r="H66" s="12">
        <f t="shared" si="28"/>
        <v>0.96227225541692485</v>
      </c>
      <c r="I66" s="12">
        <f t="shared" si="29"/>
        <v>0.52615209798040607</v>
      </c>
      <c r="J66" s="12">
        <f t="shared" si="30"/>
        <v>0.3257183360130444</v>
      </c>
      <c r="K66" s="4">
        <v>0.94404750032798601</v>
      </c>
      <c r="L66" s="4">
        <v>0.29725524609733306</v>
      </c>
      <c r="O66" s="12">
        <v>0.98817092856988731</v>
      </c>
      <c r="P66" s="20">
        <v>145.7363</v>
      </c>
      <c r="Q66">
        <f>(1-O66)*E66</f>
        <v>45.693828817789829</v>
      </c>
      <c r="R66" s="12">
        <f>(E66-P66)/E66</f>
        <v>0.96227225541692485</v>
      </c>
      <c r="S66">
        <v>12320.1842</v>
      </c>
      <c r="T66" s="12">
        <f t="shared" si="32"/>
        <v>0.98817093173006287</v>
      </c>
      <c r="W66" s="24">
        <f t="shared" si="6"/>
        <v>307.55923868999997</v>
      </c>
      <c r="X66" s="33"/>
      <c r="Y66" s="19" t="s">
        <v>1776</v>
      </c>
      <c r="Z66" s="13">
        <v>301.28076674069325</v>
      </c>
      <c r="AA66" s="9">
        <v>216.38221847062465</v>
      </c>
      <c r="AB66" s="9">
        <v>216.13564150369564</v>
      </c>
      <c r="AC66" s="4">
        <v>0.28261055678433145</v>
      </c>
      <c r="AD66" s="4">
        <f t="shared" si="31"/>
        <v>1.1395435755849183E-3</v>
      </c>
    </row>
    <row r="67" spans="2:30" x14ac:dyDescent="0.3">
      <c r="B67" s="33" t="s">
        <v>592</v>
      </c>
      <c r="C67" t="s">
        <v>1782</v>
      </c>
      <c r="D67" s="22">
        <v>376.39120000000003</v>
      </c>
      <c r="E67" s="25" t="str">
        <f>IFERROR((#REF!-#REF!)/#REF!,"-")</f>
        <v>-</v>
      </c>
      <c r="F67" s="24">
        <v>669.02320264000002</v>
      </c>
      <c r="G67" s="24">
        <v>525.2524278292135</v>
      </c>
      <c r="H67" s="12" t="str">
        <f t="shared" si="28"/>
        <v>-</v>
      </c>
      <c r="I67" s="12">
        <f t="shared" si="29"/>
        <v>0.43740187408337861</v>
      </c>
      <c r="J67" s="12">
        <f t="shared" si="30"/>
        <v>0.28340892862586803</v>
      </c>
      <c r="K67" s="4" t="s">
        <v>831</v>
      </c>
      <c r="L67" s="4">
        <v>0.21489654505771943</v>
      </c>
      <c r="O67" s="18" t="str">
        <f>IFERROR((#REF!-#REF!)/#REF!,"-")</f>
        <v>-</v>
      </c>
      <c r="P67" s="20">
        <v>376.39120000000003</v>
      </c>
      <c r="Q67" s="18" t="str">
        <f>IFERROR((#REF!-#REF!)/#REF!,"-")</f>
        <v>-</v>
      </c>
      <c r="R67" s="18" t="str">
        <f>IFERROR((#REF!-#REF!)/#REF!,"-")</f>
        <v>-</v>
      </c>
      <c r="W67" s="24">
        <f t="shared" si="6"/>
        <v>669.02320264000002</v>
      </c>
      <c r="X67" s="33" t="s">
        <v>592</v>
      </c>
      <c r="Y67" s="19" t="s">
        <v>1782</v>
      </c>
      <c r="Z67" s="13">
        <v>669.02320263829938</v>
      </c>
      <c r="AA67" s="9">
        <v>617.15626248967908</v>
      </c>
      <c r="AB67" s="9">
        <v>525.2524278292135</v>
      </c>
      <c r="AC67" s="4">
        <v>0.21489654505572373</v>
      </c>
      <c r="AD67" s="4">
        <f t="shared" si="31"/>
        <v>0.1489150159308357</v>
      </c>
    </row>
    <row r="68" spans="2:30" x14ac:dyDescent="0.3">
      <c r="B68" s="33"/>
      <c r="C68" t="s">
        <v>1783</v>
      </c>
      <c r="D68" s="22">
        <v>379.10109999999997</v>
      </c>
      <c r="E68" s="25" t="str">
        <f t="shared" ref="E68:E86" si="33">IFERROR((#REF!-#REF!)/#REF!,"-")</f>
        <v>-</v>
      </c>
      <c r="F68" s="24">
        <v>875.64707764000002</v>
      </c>
      <c r="G68" s="24">
        <v>630.57472931700363</v>
      </c>
      <c r="H68" s="12" t="str">
        <f t="shared" si="28"/>
        <v>-</v>
      </c>
      <c r="I68" s="12">
        <f t="shared" si="29"/>
        <v>0.56706176531561758</v>
      </c>
      <c r="J68" s="12">
        <f t="shared" si="30"/>
        <v>0.39880067758088417</v>
      </c>
      <c r="K68" s="4" t="s">
        <v>831</v>
      </c>
      <c r="L68" s="4">
        <v>0.27987571086687468</v>
      </c>
      <c r="O68" s="18" t="str">
        <f t="shared" ref="O68:R86" si="34">IFERROR((#REF!-#REF!)/#REF!,"-")</f>
        <v>-</v>
      </c>
      <c r="P68" s="20">
        <v>379.10109999999997</v>
      </c>
      <c r="Q68" s="18" t="str">
        <f t="shared" si="34"/>
        <v>-</v>
      </c>
      <c r="R68" s="18" t="str">
        <f t="shared" si="34"/>
        <v>-</v>
      </c>
      <c r="W68" s="24">
        <f t="shared" si="6"/>
        <v>875.64707764000002</v>
      </c>
      <c r="X68" s="33"/>
      <c r="Y68" s="19" t="s">
        <v>1783</v>
      </c>
      <c r="Z68" s="13">
        <v>875.64707763803267</v>
      </c>
      <c r="AA68" s="9">
        <v>714.88367914656374</v>
      </c>
      <c r="AB68" s="9">
        <v>630.57472931700363</v>
      </c>
      <c r="AC68" s="4">
        <v>0.2798757108652567</v>
      </c>
      <c r="AD68" s="4">
        <f t="shared" si="31"/>
        <v>0.11793380138459601</v>
      </c>
    </row>
    <row r="69" spans="2:30" x14ac:dyDescent="0.3">
      <c r="B69" s="33"/>
      <c r="C69" t="s">
        <v>1784</v>
      </c>
      <c r="D69" s="22">
        <v>358.22</v>
      </c>
      <c r="E69" s="25" t="str">
        <f t="shared" si="33"/>
        <v>-</v>
      </c>
      <c r="F69" s="24">
        <v>615.18325637999999</v>
      </c>
      <c r="G69" s="24">
        <v>469.27501128934068</v>
      </c>
      <c r="H69" s="12" t="str">
        <f t="shared" si="28"/>
        <v>-</v>
      </c>
      <c r="I69" s="12">
        <f t="shared" si="29"/>
        <v>0.41770196720255537</v>
      </c>
      <c r="J69" s="12">
        <f t="shared" si="30"/>
        <v>0.23665230114046604</v>
      </c>
      <c r="K69" s="4" t="s">
        <v>831</v>
      </c>
      <c r="L69" s="4">
        <v>0.23717850506732824</v>
      </c>
      <c r="O69" s="18" t="str">
        <f t="shared" si="34"/>
        <v>-</v>
      </c>
      <c r="P69" s="20">
        <v>358.22</v>
      </c>
      <c r="Q69" s="18" t="str">
        <f t="shared" si="34"/>
        <v>-</v>
      </c>
      <c r="R69" s="18" t="str">
        <f t="shared" si="34"/>
        <v>-</v>
      </c>
      <c r="W69" s="24">
        <f t="shared" si="6"/>
        <v>615.18325637999999</v>
      </c>
      <c r="X69" s="33"/>
      <c r="Y69" s="19" t="s">
        <v>1784</v>
      </c>
      <c r="Z69" s="13">
        <v>615.18325638420697</v>
      </c>
      <c r="AA69" s="9">
        <v>528.17197590094327</v>
      </c>
      <c r="AB69" s="9">
        <v>469.27501128934068</v>
      </c>
      <c r="AC69" s="4">
        <v>0.23717850507254484</v>
      </c>
      <c r="AD69" s="4">
        <f t="shared" si="31"/>
        <v>0.11151096101063963</v>
      </c>
    </row>
    <row r="70" spans="2:30" x14ac:dyDescent="0.3">
      <c r="B70" s="33"/>
      <c r="C70" t="s">
        <v>1785</v>
      </c>
      <c r="D70" s="22">
        <v>390.29390000000001</v>
      </c>
      <c r="E70" s="25" t="str">
        <f t="shared" si="33"/>
        <v>-</v>
      </c>
      <c r="F70" s="24">
        <v>872.76363796999999</v>
      </c>
      <c r="G70" s="24">
        <v>677.61251058916673</v>
      </c>
      <c r="H70" s="12" t="str">
        <f t="shared" si="28"/>
        <v>-</v>
      </c>
      <c r="I70" s="12">
        <f t="shared" si="29"/>
        <v>0.55280687345338764</v>
      </c>
      <c r="J70" s="12">
        <f t="shared" si="30"/>
        <v>0.42401609489079611</v>
      </c>
      <c r="K70" s="4" t="s">
        <v>831</v>
      </c>
      <c r="L70" s="4">
        <v>0.22360134965606954</v>
      </c>
      <c r="O70" s="18" t="str">
        <f t="shared" si="34"/>
        <v>-</v>
      </c>
      <c r="P70" s="20">
        <v>390.29390000000001</v>
      </c>
      <c r="Q70" s="18" t="str">
        <f t="shared" si="34"/>
        <v>-</v>
      </c>
      <c r="R70" s="18" t="str">
        <f t="shared" si="34"/>
        <v>-</v>
      </c>
      <c r="W70" s="24">
        <f t="shared" si="6"/>
        <v>872.76363796999999</v>
      </c>
      <c r="X70" s="33"/>
      <c r="Y70" s="19" t="s">
        <v>1785</v>
      </c>
      <c r="Z70" s="13">
        <v>872.76363796921987</v>
      </c>
      <c r="AA70" s="9">
        <v>751.40585432762532</v>
      </c>
      <c r="AB70" s="9">
        <v>677.61251058916673</v>
      </c>
      <c r="AC70" s="4">
        <v>0.22360134965537556</v>
      </c>
      <c r="AD70" s="4">
        <f t="shared" si="31"/>
        <v>9.8207038597657073E-2</v>
      </c>
    </row>
    <row r="71" spans="2:30" x14ac:dyDescent="0.3">
      <c r="B71" s="33"/>
      <c r="C71" t="s">
        <v>1786</v>
      </c>
      <c r="D71" s="22">
        <v>361.71280000000002</v>
      </c>
      <c r="E71" s="25" t="str">
        <f t="shared" si="33"/>
        <v>-</v>
      </c>
      <c r="F71" s="24">
        <v>673.31434578000005</v>
      </c>
      <c r="G71" s="24">
        <v>533.85078008975802</v>
      </c>
      <c r="H71" s="12" t="str">
        <f t="shared" si="28"/>
        <v>-</v>
      </c>
      <c r="I71" s="12">
        <f t="shared" si="29"/>
        <v>0.46278762324457184</v>
      </c>
      <c r="J71" s="12">
        <f t="shared" si="30"/>
        <v>0.32244587159883126</v>
      </c>
      <c r="K71" s="4" t="s">
        <v>831</v>
      </c>
      <c r="L71" s="4">
        <v>0.20712994838789697</v>
      </c>
      <c r="O71" s="18" t="str">
        <f t="shared" si="34"/>
        <v>-</v>
      </c>
      <c r="P71" s="20">
        <v>361.71280000000002</v>
      </c>
      <c r="Q71" s="18" t="str">
        <f t="shared" si="34"/>
        <v>-</v>
      </c>
      <c r="R71" s="18" t="str">
        <f t="shared" si="34"/>
        <v>-</v>
      </c>
      <c r="W71" s="24">
        <f t="shared" si="6"/>
        <v>673.31434578000005</v>
      </c>
      <c r="X71" s="33"/>
      <c r="Y71" s="19" t="s">
        <v>1786</v>
      </c>
      <c r="Z71" s="13">
        <v>673.31434578204039</v>
      </c>
      <c r="AA71" s="9">
        <v>601.77079650144526</v>
      </c>
      <c r="AB71" s="9">
        <v>533.85078008975802</v>
      </c>
      <c r="AC71" s="4">
        <v>0.20712994839029961</v>
      </c>
      <c r="AD71" s="4">
        <f t="shared" si="31"/>
        <v>0.11286692010738697</v>
      </c>
    </row>
    <row r="72" spans="2:30" x14ac:dyDescent="0.3">
      <c r="B72" s="33" t="s">
        <v>594</v>
      </c>
      <c r="C72" t="s">
        <v>1792</v>
      </c>
      <c r="D72" s="25" t="str">
        <f t="shared" ref="D72:D86" si="35">IFERROR((#REF!-#REF!)/#REF!,"-")</f>
        <v>-</v>
      </c>
      <c r="E72" s="25" t="str">
        <f t="shared" si="33"/>
        <v>-</v>
      </c>
      <c r="F72" s="24">
        <v>1208.5581307499999</v>
      </c>
      <c r="G72" s="24">
        <v>1208.5581307509215</v>
      </c>
      <c r="H72" s="12" t="str">
        <f t="shared" si="28"/>
        <v>-</v>
      </c>
      <c r="I72" s="12" t="str">
        <f t="shared" si="29"/>
        <v>-</v>
      </c>
      <c r="J72" s="12" t="str">
        <f t="shared" si="30"/>
        <v>-</v>
      </c>
      <c r="K72" s="4" t="s">
        <v>831</v>
      </c>
      <c r="L72" s="4">
        <v>-7.6251649227624017E-13</v>
      </c>
      <c r="O72" s="18" t="str">
        <f t="shared" si="34"/>
        <v>-</v>
      </c>
      <c r="P72" s="18" t="str">
        <f t="shared" si="34"/>
        <v>-</v>
      </c>
      <c r="Q72" s="18" t="str">
        <f t="shared" si="34"/>
        <v>-</v>
      </c>
      <c r="R72" s="18" t="str">
        <f t="shared" si="34"/>
        <v>-</v>
      </c>
      <c r="W72" s="24">
        <f t="shared" si="6"/>
        <v>1208.5581307499999</v>
      </c>
      <c r="X72" s="33" t="s">
        <v>594</v>
      </c>
      <c r="Y72" s="19" t="s">
        <v>1792</v>
      </c>
      <c r="Z72" s="13">
        <v>1208.5581307509215</v>
      </c>
      <c r="AA72" s="9">
        <v>1208.5581307509215</v>
      </c>
      <c r="AB72" s="9">
        <v>1208.5581307509215</v>
      </c>
      <c r="AC72" s="4">
        <v>0</v>
      </c>
      <c r="AD72" s="4">
        <f t="shared" si="31"/>
        <v>0</v>
      </c>
    </row>
    <row r="73" spans="2:30" x14ac:dyDescent="0.3">
      <c r="B73" s="33"/>
      <c r="C73" t="s">
        <v>1793</v>
      </c>
      <c r="D73" s="25" t="str">
        <f t="shared" si="35"/>
        <v>-</v>
      </c>
      <c r="E73" s="25" t="str">
        <f t="shared" si="33"/>
        <v>-</v>
      </c>
      <c r="F73" s="24">
        <v>1375.20956692</v>
      </c>
      <c r="G73" s="24">
        <v>1186.7271707572488</v>
      </c>
      <c r="H73" s="12" t="str">
        <f t="shared" si="28"/>
        <v>-</v>
      </c>
      <c r="I73" s="12" t="str">
        <f t="shared" si="29"/>
        <v>-</v>
      </c>
      <c r="J73" s="12" t="str">
        <f t="shared" si="30"/>
        <v>-</v>
      </c>
      <c r="K73" s="4" t="s">
        <v>831</v>
      </c>
      <c r="L73" s="4">
        <v>0.13705721709374627</v>
      </c>
      <c r="O73" s="18" t="str">
        <f t="shared" si="34"/>
        <v>-</v>
      </c>
      <c r="P73" s="18" t="str">
        <f t="shared" si="34"/>
        <v>-</v>
      </c>
      <c r="Q73" s="18" t="str">
        <f t="shared" si="34"/>
        <v>-</v>
      </c>
      <c r="R73" s="18" t="str">
        <f t="shared" si="34"/>
        <v>-</v>
      </c>
      <c r="W73" s="24">
        <f t="shared" si="6"/>
        <v>1375.20956692</v>
      </c>
      <c r="X73" s="33"/>
      <c r="Y73" s="19" t="s">
        <v>1793</v>
      </c>
      <c r="Z73" s="13">
        <v>1375.2095669217042</v>
      </c>
      <c r="AA73" s="9">
        <v>1343.8725247922441</v>
      </c>
      <c r="AB73" s="9">
        <v>1186.7271707572488</v>
      </c>
      <c r="AC73" s="4">
        <v>0.13705721709481564</v>
      </c>
      <c r="AD73" s="4">
        <f t="shared" si="31"/>
        <v>0.11693471749434656</v>
      </c>
    </row>
    <row r="74" spans="2:30" x14ac:dyDescent="0.3">
      <c r="B74" s="33"/>
      <c r="C74" t="s">
        <v>1794</v>
      </c>
      <c r="D74" s="25" t="str">
        <f t="shared" si="35"/>
        <v>-</v>
      </c>
      <c r="E74" s="25" t="str">
        <f t="shared" si="33"/>
        <v>-</v>
      </c>
      <c r="F74" s="24">
        <v>1203.52692695</v>
      </c>
      <c r="G74" s="24">
        <v>1031.6821416486048</v>
      </c>
      <c r="H74" s="12" t="str">
        <f t="shared" si="28"/>
        <v>-</v>
      </c>
      <c r="I74" s="12" t="str">
        <f t="shared" si="29"/>
        <v>-</v>
      </c>
      <c r="J74" s="12" t="str">
        <f t="shared" si="30"/>
        <v>-</v>
      </c>
      <c r="K74" s="4" t="s">
        <v>831</v>
      </c>
      <c r="L74" s="4">
        <v>0.14278432950136594</v>
      </c>
      <c r="O74" s="18" t="str">
        <f t="shared" si="34"/>
        <v>-</v>
      </c>
      <c r="P74" s="18" t="str">
        <f t="shared" si="34"/>
        <v>-</v>
      </c>
      <c r="Q74" s="18" t="str">
        <f t="shared" si="34"/>
        <v>-</v>
      </c>
      <c r="R74" s="18" t="str">
        <f t="shared" si="34"/>
        <v>-</v>
      </c>
      <c r="W74" s="24">
        <f t="shared" si="6"/>
        <v>1203.52692695</v>
      </c>
      <c r="X74" s="33"/>
      <c r="Y74" s="19" t="s">
        <v>1794</v>
      </c>
      <c r="Z74" s="13">
        <v>1203.5269269478968</v>
      </c>
      <c r="AA74" s="9">
        <v>1179.3138144186501</v>
      </c>
      <c r="AB74" s="9">
        <v>1031.6821416486048</v>
      </c>
      <c r="AC74" s="4">
        <v>0.14278432949986794</v>
      </c>
      <c r="AD74" s="4">
        <f t="shared" si="31"/>
        <v>0.12518438346524519</v>
      </c>
    </row>
    <row r="75" spans="2:30" x14ac:dyDescent="0.3">
      <c r="B75" s="33"/>
      <c r="C75" t="s">
        <v>1795</v>
      </c>
      <c r="D75" s="25" t="str">
        <f t="shared" si="35"/>
        <v>-</v>
      </c>
      <c r="E75" s="25" t="str">
        <f t="shared" si="33"/>
        <v>-</v>
      </c>
      <c r="F75" s="24">
        <v>1255.0435796500001</v>
      </c>
      <c r="G75" s="24">
        <v>1103.9327734666153</v>
      </c>
      <c r="H75" s="12" t="str">
        <f t="shared" si="28"/>
        <v>-</v>
      </c>
      <c r="I75" s="12" t="str">
        <f t="shared" si="29"/>
        <v>-</v>
      </c>
      <c r="J75" s="12" t="str">
        <f t="shared" si="30"/>
        <v>-</v>
      </c>
      <c r="K75" s="4" t="s">
        <v>831</v>
      </c>
      <c r="L75" s="4">
        <v>0.12040283591230012</v>
      </c>
      <c r="O75" s="18" t="str">
        <f t="shared" si="34"/>
        <v>-</v>
      </c>
      <c r="P75" s="18" t="str">
        <f t="shared" si="34"/>
        <v>-</v>
      </c>
      <c r="Q75" s="18" t="str">
        <f t="shared" si="34"/>
        <v>-</v>
      </c>
      <c r="R75" s="18" t="str">
        <f t="shared" si="34"/>
        <v>-</v>
      </c>
      <c r="W75" s="24">
        <f t="shared" si="6"/>
        <v>1255.0435796500001</v>
      </c>
      <c r="X75" s="33"/>
      <c r="Y75" s="19" t="s">
        <v>1795</v>
      </c>
      <c r="Z75" s="13">
        <v>1255.0435796468382</v>
      </c>
      <c r="AA75" s="9">
        <v>1204.6246490867941</v>
      </c>
      <c r="AB75" s="9">
        <v>1103.9327734666153</v>
      </c>
      <c r="AC75" s="4">
        <v>0.12040283591008415</v>
      </c>
      <c r="AD75" s="4">
        <f t="shared" si="31"/>
        <v>8.3587759636590181E-2</v>
      </c>
    </row>
    <row r="76" spans="2:30" x14ac:dyDescent="0.3">
      <c r="B76" s="33"/>
      <c r="C76" t="s">
        <v>1796</v>
      </c>
      <c r="D76" s="25" t="str">
        <f t="shared" si="35"/>
        <v>-</v>
      </c>
      <c r="E76" s="25" t="str">
        <f t="shared" si="33"/>
        <v>-</v>
      </c>
      <c r="F76" s="24">
        <v>1298.8821658300001</v>
      </c>
      <c r="G76" s="24">
        <v>1192.9265569658357</v>
      </c>
      <c r="H76" s="12" t="str">
        <f t="shared" si="28"/>
        <v>-</v>
      </c>
      <c r="I76" s="12" t="str">
        <f t="shared" si="29"/>
        <v>-</v>
      </c>
      <c r="J76" s="12" t="str">
        <f t="shared" si="30"/>
        <v>-</v>
      </c>
      <c r="K76" s="4" t="s">
        <v>831</v>
      </c>
      <c r="L76" s="4">
        <v>8.1574458139131917E-2</v>
      </c>
      <c r="O76" s="18" t="str">
        <f t="shared" si="34"/>
        <v>-</v>
      </c>
      <c r="P76" s="18" t="str">
        <f t="shared" si="34"/>
        <v>-</v>
      </c>
      <c r="Q76" s="18" t="str">
        <f t="shared" si="34"/>
        <v>-</v>
      </c>
      <c r="R76" s="18" t="str">
        <f t="shared" si="34"/>
        <v>-</v>
      </c>
      <c r="W76" s="24">
        <f t="shared" si="6"/>
        <v>1298.8821658300001</v>
      </c>
      <c r="X76" s="33"/>
      <c r="Y76" s="19" t="s">
        <v>1796</v>
      </c>
      <c r="Z76" s="13">
        <v>1298.8821658264528</v>
      </c>
      <c r="AA76" s="9">
        <v>1279.1086280841514</v>
      </c>
      <c r="AB76" s="9">
        <v>1192.9265569658357</v>
      </c>
      <c r="AC76" s="4">
        <v>8.1574458136623687E-2</v>
      </c>
      <c r="AD76" s="4">
        <f t="shared" si="31"/>
        <v>6.7376663112185514E-2</v>
      </c>
    </row>
    <row r="77" spans="2:30" x14ac:dyDescent="0.3">
      <c r="B77" s="33" t="s">
        <v>595</v>
      </c>
      <c r="C77" t="s">
        <v>1797</v>
      </c>
      <c r="D77" s="25" t="str">
        <f t="shared" si="35"/>
        <v>-</v>
      </c>
      <c r="E77" s="25" t="str">
        <f t="shared" si="33"/>
        <v>-</v>
      </c>
      <c r="F77" s="24">
        <v>1877.11863879</v>
      </c>
      <c r="G77" s="24">
        <v>1811.8662396472282</v>
      </c>
      <c r="H77" s="12" t="str">
        <f t="shared" si="28"/>
        <v>-</v>
      </c>
      <c r="I77" s="12" t="str">
        <f t="shared" si="29"/>
        <v>-</v>
      </c>
      <c r="J77" s="12" t="str">
        <f t="shared" si="30"/>
        <v>-</v>
      </c>
      <c r="K77" s="4" t="s">
        <v>831</v>
      </c>
      <c r="L77" s="4">
        <v>3.4762000544000665E-2</v>
      </c>
      <c r="O77" s="18" t="str">
        <f t="shared" si="34"/>
        <v>-</v>
      </c>
      <c r="P77" s="18" t="str">
        <f t="shared" si="34"/>
        <v>-</v>
      </c>
      <c r="Q77" s="18" t="str">
        <f t="shared" si="34"/>
        <v>-</v>
      </c>
      <c r="R77" s="18" t="str">
        <f t="shared" si="34"/>
        <v>-</v>
      </c>
      <c r="W77" s="24">
        <f t="shared" si="6"/>
        <v>1877.11863879</v>
      </c>
      <c r="X77" s="33" t="s">
        <v>595</v>
      </c>
      <c r="Y77" s="19" t="s">
        <v>1797</v>
      </c>
      <c r="Z77" s="13">
        <v>1877.1186387918679</v>
      </c>
      <c r="AA77" s="9">
        <v>1876.6927050365066</v>
      </c>
      <c r="AB77" s="9">
        <v>1811.8662396472282</v>
      </c>
      <c r="AC77" s="4">
        <v>3.4762000544961147E-2</v>
      </c>
      <c r="AD77" s="4">
        <f t="shared" si="31"/>
        <v>3.4542930345123998E-2</v>
      </c>
    </row>
    <row r="78" spans="2:30" x14ac:dyDescent="0.3">
      <c r="B78" s="33"/>
      <c r="C78" t="s">
        <v>1798</v>
      </c>
      <c r="D78" s="25" t="str">
        <f t="shared" si="35"/>
        <v>-</v>
      </c>
      <c r="E78" s="25" t="str">
        <f t="shared" si="33"/>
        <v>-</v>
      </c>
      <c r="F78" s="24">
        <v>1767.60533108</v>
      </c>
      <c r="G78" s="24">
        <v>1699.0113713965643</v>
      </c>
      <c r="H78" s="12" t="str">
        <f t="shared" si="28"/>
        <v>-</v>
      </c>
      <c r="I78" s="12" t="str">
        <f t="shared" si="29"/>
        <v>-</v>
      </c>
      <c r="J78" s="12" t="str">
        <f t="shared" si="30"/>
        <v>-</v>
      </c>
      <c r="K78" s="4" t="s">
        <v>831</v>
      </c>
      <c r="L78" s="4">
        <v>3.8806151168103285E-2</v>
      </c>
      <c r="O78" s="18" t="str">
        <f t="shared" si="34"/>
        <v>-</v>
      </c>
      <c r="P78" s="18" t="str">
        <f t="shared" si="34"/>
        <v>-</v>
      </c>
      <c r="Q78" s="18" t="str">
        <f t="shared" si="34"/>
        <v>-</v>
      </c>
      <c r="R78" s="18" t="str">
        <f t="shared" si="34"/>
        <v>-</v>
      </c>
      <c r="W78" s="24">
        <f t="shared" si="6"/>
        <v>1767.60533108</v>
      </c>
      <c r="X78" s="33"/>
      <c r="Y78" s="19" t="s">
        <v>1798</v>
      </c>
      <c r="Z78" s="13">
        <v>1767.6053310804286</v>
      </c>
      <c r="AA78" s="9">
        <v>1758.836151631021</v>
      </c>
      <c r="AB78" s="9">
        <v>1699.0113713965643</v>
      </c>
      <c r="AC78" s="4">
        <v>3.8806151168336356E-2</v>
      </c>
      <c r="AD78" s="4">
        <f t="shared" si="31"/>
        <v>3.4013844995725975E-2</v>
      </c>
    </row>
    <row r="79" spans="2:30" x14ac:dyDescent="0.3">
      <c r="B79" s="33"/>
      <c r="C79" t="s">
        <v>1799</v>
      </c>
      <c r="D79" s="25" t="str">
        <f t="shared" si="35"/>
        <v>-</v>
      </c>
      <c r="E79" s="25" t="str">
        <f t="shared" si="33"/>
        <v>-</v>
      </c>
      <c r="F79" s="24">
        <v>1769.4187633500001</v>
      </c>
      <c r="G79" s="24">
        <v>1697.601469307665</v>
      </c>
      <c r="H79" s="12" t="str">
        <f t="shared" si="28"/>
        <v>-</v>
      </c>
      <c r="I79" s="12" t="str">
        <f t="shared" si="29"/>
        <v>-</v>
      </c>
      <c r="J79" s="12" t="str">
        <f t="shared" si="30"/>
        <v>-</v>
      </c>
      <c r="K79" s="4" t="s">
        <v>831</v>
      </c>
      <c r="L79" s="4">
        <v>4.0588070800359928E-2</v>
      </c>
      <c r="O79" s="18" t="str">
        <f t="shared" si="34"/>
        <v>-</v>
      </c>
      <c r="P79" s="18" t="str">
        <f t="shared" si="34"/>
        <v>-</v>
      </c>
      <c r="Q79" s="18" t="str">
        <f t="shared" si="34"/>
        <v>-</v>
      </c>
      <c r="R79" s="18" t="str">
        <f t="shared" si="34"/>
        <v>-</v>
      </c>
      <c r="W79" s="24">
        <f t="shared" si="6"/>
        <v>1769.4187633500001</v>
      </c>
      <c r="X79" s="33"/>
      <c r="Y79" s="19" t="s">
        <v>1799</v>
      </c>
      <c r="Z79" s="13">
        <v>1769.4187633508227</v>
      </c>
      <c r="AA79" s="9">
        <v>1760.3597205377405</v>
      </c>
      <c r="AB79" s="9">
        <v>1697.601469307665</v>
      </c>
      <c r="AC79" s="4">
        <v>4.0588070800805974E-2</v>
      </c>
      <c r="AD79" s="4">
        <f t="shared" si="31"/>
        <v>3.5650810739355387E-2</v>
      </c>
    </row>
    <row r="80" spans="2:30" x14ac:dyDescent="0.3">
      <c r="B80" s="33"/>
      <c r="C80" t="s">
        <v>1800</v>
      </c>
      <c r="D80" s="25" t="str">
        <f t="shared" si="35"/>
        <v>-</v>
      </c>
      <c r="E80" s="25" t="str">
        <f t="shared" si="33"/>
        <v>-</v>
      </c>
      <c r="F80" s="24">
        <v>1810.7983752</v>
      </c>
      <c r="G80" s="24">
        <v>1617.1771751392848</v>
      </c>
      <c r="H80" s="12" t="str">
        <f t="shared" si="28"/>
        <v>-</v>
      </c>
      <c r="I80" s="12" t="str">
        <f t="shared" si="29"/>
        <v>-</v>
      </c>
      <c r="J80" s="12" t="str">
        <f t="shared" si="30"/>
        <v>-</v>
      </c>
      <c r="K80" s="4" t="s">
        <v>831</v>
      </c>
      <c r="L80" s="4">
        <v>0.10692587463766086</v>
      </c>
      <c r="O80" s="18" t="str">
        <f t="shared" si="34"/>
        <v>-</v>
      </c>
      <c r="P80" s="18" t="str">
        <f t="shared" si="34"/>
        <v>-</v>
      </c>
      <c r="Q80" s="18" t="str">
        <f t="shared" si="34"/>
        <v>-</v>
      </c>
      <c r="R80" s="18" t="str">
        <f t="shared" si="34"/>
        <v>-</v>
      </c>
      <c r="W80" s="24">
        <f t="shared" si="6"/>
        <v>1810.7983752</v>
      </c>
      <c r="X80" s="33"/>
      <c r="Y80" s="19" t="s">
        <v>1800</v>
      </c>
      <c r="Z80" s="13">
        <v>1810.7983751956524</v>
      </c>
      <c r="AA80" s="9">
        <v>1784.420821272503</v>
      </c>
      <c r="AB80" s="9">
        <v>1617.1771751392848</v>
      </c>
      <c r="AC80" s="4">
        <v>0.10692587463551664</v>
      </c>
      <c r="AD80" s="4">
        <f t="shared" si="31"/>
        <v>9.3724330124075578E-2</v>
      </c>
    </row>
    <row r="81" spans="2:30" x14ac:dyDescent="0.3">
      <c r="B81" s="33"/>
      <c r="C81" t="s">
        <v>1801</v>
      </c>
      <c r="D81" s="25" t="str">
        <f t="shared" si="35"/>
        <v>-</v>
      </c>
      <c r="E81" s="25" t="str">
        <f t="shared" si="33"/>
        <v>-</v>
      </c>
      <c r="F81" s="24">
        <v>1916.54900888</v>
      </c>
      <c r="G81" s="24">
        <v>1837.4136781124437</v>
      </c>
      <c r="H81" s="12" t="str">
        <f t="shared" si="28"/>
        <v>-</v>
      </c>
      <c r="I81" s="12" t="str">
        <f t="shared" si="29"/>
        <v>-</v>
      </c>
      <c r="J81" s="12" t="str">
        <f t="shared" si="30"/>
        <v>-</v>
      </c>
      <c r="K81" s="4" t="s">
        <v>831</v>
      </c>
      <c r="L81" s="4">
        <v>4.1290533349732442E-2</v>
      </c>
      <c r="O81" s="18" t="str">
        <f t="shared" si="34"/>
        <v>-</v>
      </c>
      <c r="P81" s="18" t="str">
        <f t="shared" si="34"/>
        <v>-</v>
      </c>
      <c r="Q81" s="18" t="str">
        <f t="shared" si="34"/>
        <v>-</v>
      </c>
      <c r="R81" s="18" t="str">
        <f t="shared" si="34"/>
        <v>-</v>
      </c>
      <c r="W81" s="24">
        <f t="shared" si="6"/>
        <v>1916.54900888</v>
      </c>
      <c r="X81" s="33"/>
      <c r="Y81" s="19" t="s">
        <v>1801</v>
      </c>
      <c r="Z81" s="13">
        <v>1916.5490088828678</v>
      </c>
      <c r="AA81" s="9">
        <v>1910.9345525690005</v>
      </c>
      <c r="AB81" s="9">
        <v>1837.4136781124437</v>
      </c>
      <c r="AC81" s="4">
        <v>4.1290533351167023E-2</v>
      </c>
      <c r="AD81" s="4">
        <f t="shared" si="31"/>
        <v>3.8473779417362922E-2</v>
      </c>
    </row>
    <row r="82" spans="2:30" x14ac:dyDescent="0.3">
      <c r="B82" s="33" t="s">
        <v>597</v>
      </c>
      <c r="C82" t="s">
        <v>1802</v>
      </c>
      <c r="D82" s="25" t="str">
        <f t="shared" si="35"/>
        <v>-</v>
      </c>
      <c r="E82" s="25" t="str">
        <f t="shared" si="33"/>
        <v>-</v>
      </c>
      <c r="F82" s="24">
        <v>2628.27781671</v>
      </c>
      <c r="G82" s="24">
        <v>2530.4166491521605</v>
      </c>
      <c r="H82" s="12" t="str">
        <f t="shared" si="28"/>
        <v>-</v>
      </c>
      <c r="I82" s="12" t="str">
        <f t="shared" si="29"/>
        <v>-</v>
      </c>
      <c r="J82" s="12" t="str">
        <f t="shared" si="30"/>
        <v>-</v>
      </c>
      <c r="K82" s="4" t="s">
        <v>831</v>
      </c>
      <c r="L82" s="4">
        <v>3.7233951044162904E-2</v>
      </c>
      <c r="O82" s="18" t="str">
        <f t="shared" si="34"/>
        <v>-</v>
      </c>
      <c r="P82" s="18" t="str">
        <f t="shared" si="34"/>
        <v>-</v>
      </c>
      <c r="Q82" s="18" t="str">
        <f t="shared" si="34"/>
        <v>-</v>
      </c>
      <c r="R82" s="18" t="str">
        <f t="shared" si="34"/>
        <v>-</v>
      </c>
      <c r="W82" s="24">
        <f t="shared" si="6"/>
        <v>2628.27781671</v>
      </c>
      <c r="X82" s="33" t="s">
        <v>597</v>
      </c>
      <c r="Y82" s="19" t="s">
        <v>1802</v>
      </c>
      <c r="Z82" s="13">
        <v>2628.2778167134284</v>
      </c>
      <c r="AA82" s="9">
        <v>2624.2877471526199</v>
      </c>
      <c r="AB82" s="9">
        <v>2530.4166491521605</v>
      </c>
      <c r="AC82" s="4">
        <v>3.7233951045418746E-2</v>
      </c>
      <c r="AD82" s="4">
        <f t="shared" si="31"/>
        <v>3.5770123951655269E-2</v>
      </c>
    </row>
    <row r="83" spans="2:30" x14ac:dyDescent="0.3">
      <c r="B83" s="33"/>
      <c r="C83" t="s">
        <v>1803</v>
      </c>
      <c r="D83" s="25" t="str">
        <f t="shared" si="35"/>
        <v>-</v>
      </c>
      <c r="E83" s="25" t="str">
        <f t="shared" si="33"/>
        <v>-</v>
      </c>
      <c r="F83" s="24">
        <v>2489.2333634299998</v>
      </c>
      <c r="G83" s="24">
        <v>2444.015455984334</v>
      </c>
      <c r="H83" s="12" t="str">
        <f t="shared" si="28"/>
        <v>-</v>
      </c>
      <c r="I83" s="12" t="str">
        <f t="shared" si="29"/>
        <v>-</v>
      </c>
      <c r="J83" s="12" t="str">
        <f t="shared" si="30"/>
        <v>-</v>
      </c>
      <c r="K83" s="4" t="s">
        <v>831</v>
      </c>
      <c r="L83" s="4">
        <v>1.8165395060975115E-2</v>
      </c>
      <c r="O83" s="18" t="str">
        <f t="shared" si="34"/>
        <v>-</v>
      </c>
      <c r="P83" s="18" t="str">
        <f t="shared" si="34"/>
        <v>-</v>
      </c>
      <c r="Q83" s="18" t="str">
        <f t="shared" si="34"/>
        <v>-</v>
      </c>
      <c r="R83" s="18" t="str">
        <f t="shared" si="34"/>
        <v>-</v>
      </c>
      <c r="W83" s="24">
        <f t="shared" si="6"/>
        <v>2489.2333634299998</v>
      </c>
      <c r="X83" s="33"/>
      <c r="Y83" s="19" t="s">
        <v>1803</v>
      </c>
      <c r="Z83" s="13">
        <v>2489.2333634341867</v>
      </c>
      <c r="AA83" s="9">
        <v>2472.899430628936</v>
      </c>
      <c r="AB83" s="9">
        <v>2444.015455984334</v>
      </c>
      <c r="AC83" s="4">
        <v>1.8165395062626547E-2</v>
      </c>
      <c r="AD83" s="4">
        <f t="shared" si="31"/>
        <v>1.1680205950492635E-2</v>
      </c>
    </row>
    <row r="84" spans="2:30" x14ac:dyDescent="0.3">
      <c r="B84" s="33"/>
      <c r="C84" t="s">
        <v>1804</v>
      </c>
      <c r="D84" s="25" t="str">
        <f t="shared" si="35"/>
        <v>-</v>
      </c>
      <c r="E84" s="25" t="str">
        <f t="shared" si="33"/>
        <v>-</v>
      </c>
      <c r="F84" s="24">
        <v>2431.4721356700002</v>
      </c>
      <c r="G84" s="24">
        <v>2322.5820588080342</v>
      </c>
      <c r="H84" s="12" t="str">
        <f t="shared" si="28"/>
        <v>-</v>
      </c>
      <c r="I84" s="12" t="str">
        <f t="shared" si="29"/>
        <v>-</v>
      </c>
      <c r="J84" s="12" t="str">
        <f t="shared" si="30"/>
        <v>-</v>
      </c>
      <c r="K84" s="4" t="s">
        <v>831</v>
      </c>
      <c r="L84" s="4">
        <v>4.4783600545749619E-2</v>
      </c>
      <c r="O84" s="18" t="str">
        <f t="shared" si="34"/>
        <v>-</v>
      </c>
      <c r="P84" s="18" t="str">
        <f t="shared" si="34"/>
        <v>-</v>
      </c>
      <c r="Q84" s="18" t="str">
        <f t="shared" si="34"/>
        <v>-</v>
      </c>
      <c r="R84" s="18" t="str">
        <f t="shared" si="34"/>
        <v>-</v>
      </c>
      <c r="W84" s="24">
        <f t="shared" ref="W84:W86" si="36">MIN(E84,F84)</f>
        <v>2431.4721356700002</v>
      </c>
      <c r="X84" s="33"/>
      <c r="Y84" s="19" t="s">
        <v>1804</v>
      </c>
      <c r="Z84" s="13">
        <v>2431.472135671559</v>
      </c>
      <c r="AA84" s="9">
        <v>2421.0646034384959</v>
      </c>
      <c r="AB84" s="9">
        <v>2322.5820588080342</v>
      </c>
      <c r="AC84" s="4">
        <v>4.4783600546362032E-2</v>
      </c>
      <c r="AD84" s="4">
        <f t="shared" si="31"/>
        <v>4.0677371636672857E-2</v>
      </c>
    </row>
    <row r="85" spans="2:30" x14ac:dyDescent="0.3">
      <c r="B85" s="33"/>
      <c r="C85" t="s">
        <v>1805</v>
      </c>
      <c r="D85" s="25" t="str">
        <f t="shared" si="35"/>
        <v>-</v>
      </c>
      <c r="E85" s="25" t="str">
        <f t="shared" si="33"/>
        <v>-</v>
      </c>
      <c r="F85" s="24">
        <v>2621.9457205600002</v>
      </c>
      <c r="G85" s="24">
        <v>2497.0165783656589</v>
      </c>
      <c r="H85" s="12" t="str">
        <f t="shared" si="28"/>
        <v>-</v>
      </c>
      <c r="I85" s="12" t="str">
        <f t="shared" si="29"/>
        <v>-</v>
      </c>
      <c r="J85" s="12" t="str">
        <f t="shared" si="30"/>
        <v>-</v>
      </c>
      <c r="K85" s="4" t="s">
        <v>831</v>
      </c>
      <c r="L85" s="4">
        <v>4.7647493697031466E-2</v>
      </c>
      <c r="O85" s="18" t="str">
        <f t="shared" si="34"/>
        <v>-</v>
      </c>
      <c r="P85" s="18" t="str">
        <f t="shared" si="34"/>
        <v>-</v>
      </c>
      <c r="Q85" s="18" t="str">
        <f t="shared" si="34"/>
        <v>-</v>
      </c>
      <c r="R85" s="18" t="str">
        <f t="shared" si="34"/>
        <v>-</v>
      </c>
      <c r="W85" s="24">
        <f t="shared" si="36"/>
        <v>2621.9457205600002</v>
      </c>
      <c r="X85" s="33"/>
      <c r="Y85" s="19" t="s">
        <v>1805</v>
      </c>
      <c r="Z85" s="13">
        <v>2621.9457205559188</v>
      </c>
      <c r="AA85" s="9">
        <v>2594.4888374727238</v>
      </c>
      <c r="AB85" s="9">
        <v>2497.0165783656589</v>
      </c>
      <c r="AC85" s="4">
        <v>4.764749369554902E-2</v>
      </c>
      <c r="AD85" s="4">
        <f t="shared" si="31"/>
        <v>3.7568964529449307E-2</v>
      </c>
    </row>
    <row r="86" spans="2:30" x14ac:dyDescent="0.3">
      <c r="B86" s="33"/>
      <c r="C86" t="s">
        <v>1806</v>
      </c>
      <c r="D86" s="25" t="str">
        <f t="shared" si="35"/>
        <v>-</v>
      </c>
      <c r="E86" s="25" t="str">
        <f t="shared" si="33"/>
        <v>-</v>
      </c>
      <c r="F86" s="24">
        <v>2537.2195221400002</v>
      </c>
      <c r="G86" s="24">
        <v>2337.4109040825592</v>
      </c>
      <c r="H86" s="12" t="str">
        <f t="shared" si="28"/>
        <v>-</v>
      </c>
      <c r="I86" s="12" t="str">
        <f t="shared" si="29"/>
        <v>-</v>
      </c>
      <c r="J86" s="12" t="str">
        <f t="shared" si="30"/>
        <v>-</v>
      </c>
      <c r="K86" s="4" t="s">
        <v>831</v>
      </c>
      <c r="L86" s="4">
        <v>7.8751017132689324E-2</v>
      </c>
      <c r="O86" s="18" t="str">
        <f t="shared" si="34"/>
        <v>-</v>
      </c>
      <c r="P86" s="18" t="str">
        <f t="shared" si="34"/>
        <v>-</v>
      </c>
      <c r="Q86" s="18" t="str">
        <f t="shared" si="34"/>
        <v>-</v>
      </c>
      <c r="R86" s="18" t="str">
        <f t="shared" si="34"/>
        <v>-</v>
      </c>
      <c r="W86" s="24">
        <f t="shared" si="36"/>
        <v>2537.2195221400002</v>
      </c>
      <c r="X86" s="33"/>
      <c r="Y86" s="19" t="s">
        <v>1806</v>
      </c>
      <c r="Z86" s="13">
        <v>2537.2195221448696</v>
      </c>
      <c r="AA86" s="9">
        <v>2528.6291866627716</v>
      </c>
      <c r="AB86" s="9">
        <v>2337.4109040825592</v>
      </c>
      <c r="AC86" s="4">
        <v>7.8751017134457382E-2</v>
      </c>
      <c r="AD86" s="4">
        <f t="shared" si="31"/>
        <v>7.5621322251910747E-2</v>
      </c>
    </row>
  </sheetData>
  <mergeCells count="43">
    <mergeCell ref="B23:B27"/>
    <mergeCell ref="B60:C60"/>
    <mergeCell ref="E60:G60"/>
    <mergeCell ref="K60:L60"/>
    <mergeCell ref="H1:J1"/>
    <mergeCell ref="B1:C1"/>
    <mergeCell ref="E1:G1"/>
    <mergeCell ref="K1:L1"/>
    <mergeCell ref="B3:B7"/>
    <mergeCell ref="B8:B12"/>
    <mergeCell ref="B33:B37"/>
    <mergeCell ref="B43:B47"/>
    <mergeCell ref="B67:B71"/>
    <mergeCell ref="B72:B76"/>
    <mergeCell ref="B77:B81"/>
    <mergeCell ref="B82:B86"/>
    <mergeCell ref="X3:X7"/>
    <mergeCell ref="X8:X12"/>
    <mergeCell ref="X13:X17"/>
    <mergeCell ref="X18:X22"/>
    <mergeCell ref="X23:X27"/>
    <mergeCell ref="X82:X86"/>
    <mergeCell ref="B13:B17"/>
    <mergeCell ref="B28:B32"/>
    <mergeCell ref="B38:B42"/>
    <mergeCell ref="B48:B52"/>
    <mergeCell ref="B62:B66"/>
    <mergeCell ref="B18:B22"/>
    <mergeCell ref="AC1:AD1"/>
    <mergeCell ref="X62:X66"/>
    <mergeCell ref="X67:X71"/>
    <mergeCell ref="X72:X76"/>
    <mergeCell ref="X77:X81"/>
    <mergeCell ref="AC60:AD60"/>
    <mergeCell ref="Z60:AB60"/>
    <mergeCell ref="X60:Y60"/>
    <mergeCell ref="X1:Y1"/>
    <mergeCell ref="Z1:AB1"/>
    <mergeCell ref="X28:X32"/>
    <mergeCell ref="X38:X42"/>
    <mergeCell ref="X48:X52"/>
    <mergeCell ref="X33:X37"/>
    <mergeCell ref="X43:X47"/>
  </mergeCells>
  <phoneticPr fontId="2" type="noConversion"/>
  <conditionalFormatting sqref="AC3:AD86">
    <cfRule type="cellIs" dxfId="10" priority="2" operator="between">
      <formula>0</formula>
      <formula>0.1</formula>
    </cfRule>
    <cfRule type="cellIs" dxfId="9" priority="3" operator="lessThan">
      <formula>0</formula>
    </cfRule>
    <cfRule type="cellIs" dxfId="8" priority="4" operator="greaterThan">
      <formula>0.1</formula>
    </cfRule>
  </conditionalFormatting>
  <conditionalFormatting sqref="H3:L86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2F9D-6904-4FF0-BC02-F34F9B84D67D}">
  <dimension ref="A1:R71"/>
  <sheetViews>
    <sheetView topLeftCell="A37" workbookViewId="0">
      <selection activeCell="L71" sqref="L71"/>
    </sheetView>
  </sheetViews>
  <sheetFormatPr defaultRowHeight="14" x14ac:dyDescent="0.3"/>
  <sheetData>
    <row r="1" spans="1:18" x14ac:dyDescent="0.3">
      <c r="B1" s="33" t="s">
        <v>1944</v>
      </c>
      <c r="C1" s="33"/>
      <c r="D1" s="33"/>
      <c r="E1" s="33"/>
      <c r="F1" s="33"/>
      <c r="G1" s="33"/>
      <c r="H1" s="33"/>
      <c r="I1" s="33"/>
      <c r="J1" s="33"/>
      <c r="K1" s="33" t="s">
        <v>1945</v>
      </c>
      <c r="L1" s="33"/>
      <c r="M1" s="33"/>
      <c r="N1" s="33"/>
      <c r="O1" s="33"/>
      <c r="P1" s="33"/>
      <c r="Q1" s="33"/>
      <c r="R1" s="33"/>
    </row>
    <row r="2" spans="1:18" x14ac:dyDescent="0.3">
      <c r="A2" t="s">
        <v>816</v>
      </c>
      <c r="B2" t="s">
        <v>817</v>
      </c>
      <c r="C2" t="s">
        <v>1765</v>
      </c>
      <c r="D2" t="s">
        <v>1808</v>
      </c>
      <c r="E2" t="s">
        <v>819</v>
      </c>
      <c r="F2" t="s">
        <v>1810</v>
      </c>
      <c r="G2" t="s">
        <v>1811</v>
      </c>
      <c r="H2" t="s">
        <v>1942</v>
      </c>
      <c r="I2" t="s">
        <v>815</v>
      </c>
      <c r="J2" t="s">
        <v>1943</v>
      </c>
      <c r="K2" t="s">
        <v>1941</v>
      </c>
      <c r="L2" t="s">
        <v>1808</v>
      </c>
      <c r="M2" t="s">
        <v>819</v>
      </c>
      <c r="N2" t="s">
        <v>1810</v>
      </c>
      <c r="O2" t="s">
        <v>1811</v>
      </c>
      <c r="P2" t="s">
        <v>1942</v>
      </c>
      <c r="Q2" t="s">
        <v>815</v>
      </c>
      <c r="R2" t="s">
        <v>1943</v>
      </c>
    </row>
    <row r="3" spans="1:18" x14ac:dyDescent="0.3">
      <c r="A3" t="s">
        <v>599</v>
      </c>
      <c r="B3" t="s">
        <v>1772</v>
      </c>
      <c r="C3">
        <v>39.719499999999996</v>
      </c>
      <c r="D3">
        <v>39.75575014615066</v>
      </c>
      <c r="E3">
        <v>55.931089980000003</v>
      </c>
      <c r="F3">
        <v>39.761758749796655</v>
      </c>
      <c r="G3">
        <v>39.833758749796658</v>
      </c>
      <c r="H3">
        <f t="shared" ref="H3:H27" si="0">MIN(D3:G3)</f>
        <v>39.75575014615066</v>
      </c>
      <c r="I3">
        <v>40.118458749796645</v>
      </c>
      <c r="J3" s="12">
        <f t="shared" ref="J3:J27" si="1">(H3-I3)/H3</f>
        <v>-9.1234249715472539E-3</v>
      </c>
      <c r="K3">
        <v>131.54249999999999</v>
      </c>
      <c r="L3">
        <v>3871.6275880056887</v>
      </c>
      <c r="M3">
        <v>323.61072381999998</v>
      </c>
      <c r="N3">
        <v>319.53606947777735</v>
      </c>
      <c r="O3">
        <v>236.92127413431751</v>
      </c>
      <c r="P3">
        <f>MIN(L3:O3)</f>
        <v>236.92127413431751</v>
      </c>
      <c r="Q3">
        <v>225.10988662137976</v>
      </c>
      <c r="R3" s="12">
        <f>(P3-Q3)/P3</f>
        <v>4.9853638328154266E-2</v>
      </c>
    </row>
    <row r="4" spans="1:18" x14ac:dyDescent="0.3">
      <c r="B4" t="s">
        <v>1773</v>
      </c>
      <c r="C4">
        <v>41.549799999999998</v>
      </c>
      <c r="D4">
        <v>41.555424227173049</v>
      </c>
      <c r="E4">
        <v>57.656505899999999</v>
      </c>
      <c r="F4">
        <v>41.555424227173049</v>
      </c>
      <c r="G4">
        <v>41.767224227173052</v>
      </c>
      <c r="H4">
        <f t="shared" si="0"/>
        <v>41.555424227173049</v>
      </c>
      <c r="I4">
        <v>41.898026514197895</v>
      </c>
      <c r="J4" s="12">
        <f t="shared" si="1"/>
        <v>-8.2444661171529737E-3</v>
      </c>
      <c r="K4">
        <v>151.0796</v>
      </c>
      <c r="L4">
        <v>300.12227220326088</v>
      </c>
      <c r="M4">
        <v>338.56669997</v>
      </c>
      <c r="N4">
        <v>331.50048436174211</v>
      </c>
      <c r="O4">
        <v>241.10929739884776</v>
      </c>
      <c r="P4">
        <f t="shared" ref="P4:P27" si="2">MIN(L4:O4)</f>
        <v>241.10929739884776</v>
      </c>
      <c r="Q4">
        <v>238.98936419206723</v>
      </c>
      <c r="R4" s="12">
        <f t="shared" ref="R4:R27" si="3">(P4-Q4)/P4</f>
        <v>8.7924158448095622E-3</v>
      </c>
    </row>
    <row r="5" spans="1:18" x14ac:dyDescent="0.3">
      <c r="B5" t="s">
        <v>1774</v>
      </c>
      <c r="C5">
        <v>19.729399999999998</v>
      </c>
      <c r="D5">
        <v>19.740402093227388</v>
      </c>
      <c r="E5">
        <v>20.29128236</v>
      </c>
      <c r="F5">
        <v>19.740402093227388</v>
      </c>
      <c r="G5">
        <v>19.858726224054692</v>
      </c>
      <c r="H5">
        <f t="shared" si="0"/>
        <v>19.740402093227388</v>
      </c>
      <c r="I5">
        <v>19.868326224054695</v>
      </c>
      <c r="J5" s="12">
        <f t="shared" si="1"/>
        <v>-6.4803204222063527E-3</v>
      </c>
      <c r="K5">
        <v>103.3734</v>
      </c>
      <c r="L5">
        <v>119.32010848375801</v>
      </c>
      <c r="M5">
        <v>165.01941228999999</v>
      </c>
      <c r="N5">
        <v>162.12217431841853</v>
      </c>
      <c r="O5">
        <v>123.11756293151566</v>
      </c>
      <c r="P5">
        <f t="shared" si="2"/>
        <v>119.32010848375801</v>
      </c>
      <c r="Q5">
        <v>123.24506749593867</v>
      </c>
      <c r="R5" s="12">
        <f t="shared" si="3"/>
        <v>-3.289436342336996E-2</v>
      </c>
    </row>
    <row r="6" spans="1:18" x14ac:dyDescent="0.3">
      <c r="B6" t="s">
        <v>1775</v>
      </c>
      <c r="C6">
        <v>22.646599999999999</v>
      </c>
      <c r="D6">
        <v>22.758820843048195</v>
      </c>
      <c r="E6">
        <v>28.936699690000001</v>
      </c>
      <c r="F6">
        <v>22.758820843048206</v>
      </c>
      <c r="G6">
        <v>23.115855568532133</v>
      </c>
      <c r="H6">
        <f t="shared" si="0"/>
        <v>22.758820843048195</v>
      </c>
      <c r="I6">
        <v>23.117820147610626</v>
      </c>
      <c r="J6" s="12">
        <f t="shared" si="1"/>
        <v>-1.5774073140177182E-2</v>
      </c>
      <c r="K6">
        <v>114.03449999999999</v>
      </c>
      <c r="L6">
        <v>123.83911959795853</v>
      </c>
      <c r="M6">
        <v>147.71197531999999</v>
      </c>
      <c r="N6">
        <v>143.49692738316031</v>
      </c>
      <c r="O6">
        <v>128.742257434697</v>
      </c>
      <c r="P6">
        <f t="shared" si="2"/>
        <v>123.83911959795853</v>
      </c>
      <c r="Q6">
        <v>127.98914761587699</v>
      </c>
      <c r="R6" s="12">
        <f t="shared" si="3"/>
        <v>-3.3511446394252881E-2</v>
      </c>
    </row>
    <row r="7" spans="1:18" x14ac:dyDescent="0.3">
      <c r="B7" t="s">
        <v>1776</v>
      </c>
      <c r="C7">
        <v>33.917400000000001</v>
      </c>
      <c r="D7">
        <v>34.061136441961978</v>
      </c>
      <c r="E7">
        <v>47.283948359999997</v>
      </c>
      <c r="F7">
        <v>34.061136441961978</v>
      </c>
      <c r="G7">
        <v>34.167917464225027</v>
      </c>
      <c r="H7">
        <f t="shared" si="0"/>
        <v>34.061136441961978</v>
      </c>
      <c r="I7">
        <v>34.23259926627064</v>
      </c>
      <c r="J7" s="12">
        <f t="shared" si="1"/>
        <v>-5.0339725041418986E-3</v>
      </c>
      <c r="K7">
        <v>145.7363</v>
      </c>
      <c r="L7">
        <v>3862.8415668764387</v>
      </c>
      <c r="M7">
        <v>307.55923868999997</v>
      </c>
      <c r="N7">
        <v>301.28076674069325</v>
      </c>
      <c r="O7">
        <v>216.38221847062465</v>
      </c>
      <c r="P7">
        <f t="shared" si="2"/>
        <v>216.38221847062465</v>
      </c>
      <c r="Q7">
        <v>216.13564150369564</v>
      </c>
      <c r="R7" s="12">
        <f t="shared" si="3"/>
        <v>1.1395435755849183E-3</v>
      </c>
    </row>
    <row r="8" spans="1:18" x14ac:dyDescent="0.3">
      <c r="A8" t="s">
        <v>592</v>
      </c>
      <c r="B8" t="s">
        <v>1782</v>
      </c>
      <c r="C8">
        <v>73.251499999999993</v>
      </c>
      <c r="D8">
        <v>1779.0503180665351</v>
      </c>
      <c r="E8">
        <v>143.50523222999999</v>
      </c>
      <c r="F8">
        <v>139.8957524937764</v>
      </c>
      <c r="G8">
        <v>95.2872019031946</v>
      </c>
      <c r="H8">
        <f t="shared" si="0"/>
        <v>95.2872019031946</v>
      </c>
      <c r="I8">
        <v>96.057852332269405</v>
      </c>
      <c r="J8" s="12">
        <f t="shared" si="1"/>
        <v>-8.0876593465063103E-3</v>
      </c>
      <c r="K8">
        <v>376.39120000000003</v>
      </c>
      <c r="L8" t="s">
        <v>831</v>
      </c>
      <c r="M8">
        <v>669.02320264000002</v>
      </c>
      <c r="N8">
        <v>669.02320263829938</v>
      </c>
      <c r="O8">
        <v>617.15626248967908</v>
      </c>
      <c r="P8">
        <f t="shared" si="2"/>
        <v>617.15626248967908</v>
      </c>
      <c r="Q8">
        <v>525.2524278292135</v>
      </c>
      <c r="R8" s="12">
        <f t="shared" si="3"/>
        <v>0.1489150159308357</v>
      </c>
    </row>
    <row r="9" spans="1:18" x14ac:dyDescent="0.3">
      <c r="B9" t="s">
        <v>1783</v>
      </c>
      <c r="C9">
        <v>75.9602</v>
      </c>
      <c r="D9">
        <v>1485.9867313469467</v>
      </c>
      <c r="E9">
        <v>136.68911327999999</v>
      </c>
      <c r="F9">
        <v>130.67448008437844</v>
      </c>
      <c r="G9">
        <v>107.79787016615427</v>
      </c>
      <c r="H9">
        <f t="shared" si="0"/>
        <v>107.79787016615427</v>
      </c>
      <c r="I9">
        <v>103.75426744136814</v>
      </c>
      <c r="J9" s="12">
        <f t="shared" si="1"/>
        <v>3.7510970472362008E-2</v>
      </c>
      <c r="K9">
        <v>379.10109999999997</v>
      </c>
      <c r="L9" t="s">
        <v>831</v>
      </c>
      <c r="M9">
        <v>875.64707764000002</v>
      </c>
      <c r="N9">
        <v>875.64707763803267</v>
      </c>
      <c r="O9">
        <v>714.88367914656374</v>
      </c>
      <c r="P9">
        <f t="shared" si="2"/>
        <v>714.88367914656374</v>
      </c>
      <c r="Q9">
        <v>630.57472931700363</v>
      </c>
      <c r="R9" s="12">
        <f t="shared" si="3"/>
        <v>0.11793380138459601</v>
      </c>
    </row>
    <row r="10" spans="1:18" x14ac:dyDescent="0.3">
      <c r="B10" t="s">
        <v>1784</v>
      </c>
      <c r="C10">
        <v>69.497699999999995</v>
      </c>
      <c r="D10">
        <v>1361.0478745513392</v>
      </c>
      <c r="E10">
        <v>143.75224972999999</v>
      </c>
      <c r="F10">
        <v>139.7686740833378</v>
      </c>
      <c r="G10">
        <v>100.47303179399104</v>
      </c>
      <c r="H10">
        <f t="shared" si="0"/>
        <v>100.47303179399104</v>
      </c>
      <c r="I10">
        <v>96.89826578643283</v>
      </c>
      <c r="J10" s="12">
        <f t="shared" si="1"/>
        <v>3.5579358398260312E-2</v>
      </c>
      <c r="K10">
        <v>358.22</v>
      </c>
      <c r="L10" t="s">
        <v>831</v>
      </c>
      <c r="M10">
        <v>615.18325637999999</v>
      </c>
      <c r="N10">
        <v>615.18325638420697</v>
      </c>
      <c r="O10">
        <v>528.17197590094327</v>
      </c>
      <c r="P10">
        <f t="shared" si="2"/>
        <v>528.17197590094327</v>
      </c>
      <c r="Q10">
        <v>469.27501128934068</v>
      </c>
      <c r="R10" s="12">
        <f t="shared" si="3"/>
        <v>0.11151096101063963</v>
      </c>
    </row>
    <row r="11" spans="1:18" x14ac:dyDescent="0.3">
      <c r="B11" t="s">
        <v>1785</v>
      </c>
      <c r="C11">
        <v>75.502700000000004</v>
      </c>
      <c r="D11">
        <v>1390.0675692228908</v>
      </c>
      <c r="E11">
        <v>159.07776181</v>
      </c>
      <c r="F11">
        <v>153.50249196774706</v>
      </c>
      <c r="G11">
        <v>108.49097012380952</v>
      </c>
      <c r="H11">
        <f t="shared" si="0"/>
        <v>108.49097012380952</v>
      </c>
      <c r="I11">
        <v>99.010361511311643</v>
      </c>
      <c r="J11" s="12">
        <f t="shared" si="1"/>
        <v>8.7386153904593505E-2</v>
      </c>
      <c r="K11">
        <v>390.29390000000001</v>
      </c>
      <c r="L11" t="s">
        <v>831</v>
      </c>
      <c r="M11">
        <v>872.76363796999999</v>
      </c>
      <c r="N11">
        <v>872.76363796921987</v>
      </c>
      <c r="O11">
        <v>751.40585432762532</v>
      </c>
      <c r="P11">
        <f t="shared" si="2"/>
        <v>751.40585432762532</v>
      </c>
      <c r="Q11">
        <v>677.61251058916673</v>
      </c>
      <c r="R11" s="12">
        <f t="shared" si="3"/>
        <v>9.8207038597657073E-2</v>
      </c>
    </row>
    <row r="12" spans="1:18" x14ac:dyDescent="0.3">
      <c r="B12" t="s">
        <v>1786</v>
      </c>
      <c r="C12">
        <v>79.171099999999996</v>
      </c>
      <c r="D12">
        <v>1279.3915889633035</v>
      </c>
      <c r="E12">
        <v>155.03973479999999</v>
      </c>
      <c r="F12">
        <v>150.38724903240183</v>
      </c>
      <c r="G12">
        <v>120.55877081221855</v>
      </c>
      <c r="H12">
        <f t="shared" si="0"/>
        <v>120.55877081221855</v>
      </c>
      <c r="I12">
        <v>107.9504301020327</v>
      </c>
      <c r="J12" s="12">
        <f t="shared" si="1"/>
        <v>0.10458252539605363</v>
      </c>
      <c r="K12">
        <v>361.71280000000002</v>
      </c>
      <c r="L12" t="s">
        <v>831</v>
      </c>
      <c r="M12">
        <v>673.31434578000005</v>
      </c>
      <c r="N12">
        <v>673.31434578204039</v>
      </c>
      <c r="O12">
        <v>601.77079650144526</v>
      </c>
      <c r="P12">
        <f t="shared" si="2"/>
        <v>601.77079650144526</v>
      </c>
      <c r="Q12">
        <v>533.85078008975802</v>
      </c>
      <c r="R12" s="12">
        <f t="shared" si="3"/>
        <v>0.11286692010738697</v>
      </c>
    </row>
    <row r="13" spans="1:18" x14ac:dyDescent="0.3">
      <c r="A13" t="s">
        <v>594</v>
      </c>
      <c r="B13" t="s">
        <v>1792</v>
      </c>
      <c r="C13">
        <v>147.82400000000001</v>
      </c>
      <c r="D13" t="s">
        <v>831</v>
      </c>
      <c r="E13">
        <v>262.99802846</v>
      </c>
      <c r="F13">
        <v>254.51050153963263</v>
      </c>
      <c r="G13">
        <v>208.41107395894616</v>
      </c>
      <c r="H13">
        <f t="shared" si="0"/>
        <v>208.41107395894616</v>
      </c>
      <c r="I13">
        <v>183.37280830517034</v>
      </c>
      <c r="J13" s="12">
        <f t="shared" si="1"/>
        <v>0.12013884472716639</v>
      </c>
      <c r="K13" t="s">
        <v>831</v>
      </c>
      <c r="L13" t="s">
        <v>831</v>
      </c>
      <c r="M13">
        <v>1208.5581307499999</v>
      </c>
      <c r="N13">
        <v>1208.5581307509215</v>
      </c>
      <c r="O13">
        <v>1208.5581307509215</v>
      </c>
      <c r="P13">
        <f t="shared" si="2"/>
        <v>1208.5581307499999</v>
      </c>
      <c r="Q13">
        <v>1208.5581307509215</v>
      </c>
      <c r="R13" s="12">
        <f t="shared" si="3"/>
        <v>-7.6251649227624017E-13</v>
      </c>
    </row>
    <row r="14" spans="1:18" x14ac:dyDescent="0.3">
      <c r="B14" t="s">
        <v>1793</v>
      </c>
      <c r="C14">
        <v>136.91929999999999</v>
      </c>
      <c r="D14" t="s">
        <v>831</v>
      </c>
      <c r="E14">
        <v>294.01645559000002</v>
      </c>
      <c r="F14">
        <v>285.9167621223346</v>
      </c>
      <c r="G14">
        <v>224.40392164510226</v>
      </c>
      <c r="H14">
        <f t="shared" si="0"/>
        <v>224.40392164510226</v>
      </c>
      <c r="I14">
        <v>196.21432586195203</v>
      </c>
      <c r="J14" s="12">
        <f t="shared" si="1"/>
        <v>0.12561988924477194</v>
      </c>
      <c r="K14" t="s">
        <v>831</v>
      </c>
      <c r="L14" t="s">
        <v>831</v>
      </c>
      <c r="M14">
        <v>1375.20956692</v>
      </c>
      <c r="N14">
        <v>1375.2095669217042</v>
      </c>
      <c r="O14">
        <v>1343.8725247922441</v>
      </c>
      <c r="P14">
        <f t="shared" si="2"/>
        <v>1343.8725247922441</v>
      </c>
      <c r="Q14">
        <v>1186.7271707572488</v>
      </c>
      <c r="R14" s="12">
        <f t="shared" si="3"/>
        <v>0.11693471749434656</v>
      </c>
    </row>
    <row r="15" spans="1:18" x14ac:dyDescent="0.3">
      <c r="B15" t="s">
        <v>1794</v>
      </c>
      <c r="C15">
        <v>158.2567</v>
      </c>
      <c r="D15" t="s">
        <v>831</v>
      </c>
      <c r="E15">
        <v>326.96103498000002</v>
      </c>
      <c r="F15">
        <v>319.5934581953336</v>
      </c>
      <c r="G15">
        <v>240.12338346778881</v>
      </c>
      <c r="H15">
        <f t="shared" si="0"/>
        <v>240.12338346778881</v>
      </c>
      <c r="I15">
        <v>223.84969477670546</v>
      </c>
      <c r="J15" s="12">
        <f t="shared" si="1"/>
        <v>6.7772194677851408E-2</v>
      </c>
      <c r="K15" t="s">
        <v>831</v>
      </c>
      <c r="L15" t="s">
        <v>831</v>
      </c>
      <c r="M15">
        <v>1203.52692695</v>
      </c>
      <c r="N15">
        <v>1203.5269269478968</v>
      </c>
      <c r="O15">
        <v>1179.3138144186501</v>
      </c>
      <c r="P15">
        <f t="shared" si="2"/>
        <v>1179.3138144186501</v>
      </c>
      <c r="Q15">
        <v>1031.6821416486048</v>
      </c>
      <c r="R15" s="12">
        <f t="shared" si="3"/>
        <v>0.12518438346524519</v>
      </c>
    </row>
    <row r="16" spans="1:18" x14ac:dyDescent="0.3">
      <c r="B16" t="s">
        <v>1795</v>
      </c>
      <c r="C16">
        <v>126.3252</v>
      </c>
      <c r="D16" t="s">
        <v>831</v>
      </c>
      <c r="E16">
        <v>220.33714198000001</v>
      </c>
      <c r="F16">
        <v>212.9445392611463</v>
      </c>
      <c r="G16">
        <v>173.48320515526152</v>
      </c>
      <c r="H16">
        <f t="shared" si="0"/>
        <v>173.48320515526152</v>
      </c>
      <c r="I16">
        <v>169.21303561650905</v>
      </c>
      <c r="J16" s="12">
        <f t="shared" si="1"/>
        <v>2.4614310848884848E-2</v>
      </c>
      <c r="K16" t="s">
        <v>831</v>
      </c>
      <c r="L16" t="s">
        <v>831</v>
      </c>
      <c r="M16">
        <v>1255.0435796500001</v>
      </c>
      <c r="N16">
        <v>1255.0435796468382</v>
      </c>
      <c r="O16">
        <v>1204.6246490867941</v>
      </c>
      <c r="P16">
        <f t="shared" si="2"/>
        <v>1204.6246490867941</v>
      </c>
      <c r="Q16">
        <v>1103.9327734666153</v>
      </c>
      <c r="R16" s="12">
        <f t="shared" si="3"/>
        <v>8.3587759636590181E-2</v>
      </c>
    </row>
    <row r="17" spans="1:18" x14ac:dyDescent="0.3">
      <c r="B17" t="s">
        <v>1796</v>
      </c>
      <c r="C17">
        <v>152.2621</v>
      </c>
      <c r="D17" t="s">
        <v>831</v>
      </c>
      <c r="E17">
        <v>225.72616502</v>
      </c>
      <c r="F17">
        <v>219.92113333375823</v>
      </c>
      <c r="G17">
        <v>192.09103257221071</v>
      </c>
      <c r="H17">
        <f t="shared" si="0"/>
        <v>192.09103257221071</v>
      </c>
      <c r="I17">
        <v>173.0849769117732</v>
      </c>
      <c r="J17" s="12">
        <f t="shared" si="1"/>
        <v>9.8942961604898294E-2</v>
      </c>
      <c r="K17" t="s">
        <v>831</v>
      </c>
      <c r="L17" t="s">
        <v>831</v>
      </c>
      <c r="M17">
        <v>1298.8821658300001</v>
      </c>
      <c r="N17">
        <v>1298.8821658264528</v>
      </c>
      <c r="O17">
        <v>1279.1086280841514</v>
      </c>
      <c r="P17">
        <f t="shared" si="2"/>
        <v>1279.1086280841514</v>
      </c>
      <c r="Q17">
        <v>1192.9265569658357</v>
      </c>
      <c r="R17" s="12">
        <f t="shared" si="3"/>
        <v>6.7376663112185514E-2</v>
      </c>
    </row>
    <row r="18" spans="1:18" x14ac:dyDescent="0.3">
      <c r="A18" t="s">
        <v>595</v>
      </c>
      <c r="B18" t="s">
        <v>1797</v>
      </c>
      <c r="C18">
        <v>197.2148</v>
      </c>
      <c r="D18" t="s">
        <v>831</v>
      </c>
      <c r="E18">
        <v>335.33493076000002</v>
      </c>
      <c r="F18">
        <v>324.79169230152337</v>
      </c>
      <c r="G18">
        <v>288.24939645475501</v>
      </c>
      <c r="H18">
        <f t="shared" si="0"/>
        <v>288.24939645475501</v>
      </c>
      <c r="I18">
        <v>258.54453833859736</v>
      </c>
      <c r="J18" s="12">
        <f t="shared" si="1"/>
        <v>0.10305262901329358</v>
      </c>
      <c r="K18" t="s">
        <v>831</v>
      </c>
      <c r="L18" t="s">
        <v>831</v>
      </c>
      <c r="M18">
        <v>1877.11863879</v>
      </c>
      <c r="N18">
        <v>1877.1186387918679</v>
      </c>
      <c r="O18">
        <v>1876.6927050365066</v>
      </c>
      <c r="P18">
        <f t="shared" si="2"/>
        <v>1876.6927050365066</v>
      </c>
      <c r="Q18">
        <v>1811.8662396472282</v>
      </c>
      <c r="R18" s="12">
        <f t="shared" si="3"/>
        <v>3.4542930345123998E-2</v>
      </c>
    </row>
    <row r="19" spans="1:18" x14ac:dyDescent="0.3">
      <c r="B19" t="s">
        <v>1798</v>
      </c>
      <c r="C19">
        <v>210.30590000000001</v>
      </c>
      <c r="D19" t="s">
        <v>831</v>
      </c>
      <c r="E19">
        <v>346.54478344</v>
      </c>
      <c r="F19">
        <v>338.10142246124013</v>
      </c>
      <c r="G19">
        <v>292.07670099049051</v>
      </c>
      <c r="H19">
        <f t="shared" si="0"/>
        <v>292.07670099049051</v>
      </c>
      <c r="I19">
        <v>265.61777859962569</v>
      </c>
      <c r="J19" s="12">
        <f t="shared" si="1"/>
        <v>9.0588952494797828E-2</v>
      </c>
      <c r="K19" t="s">
        <v>831</v>
      </c>
      <c r="L19" t="s">
        <v>831</v>
      </c>
      <c r="M19">
        <v>1767.60533108</v>
      </c>
      <c r="N19">
        <v>1767.6053310804286</v>
      </c>
      <c r="O19">
        <v>1758.836151631021</v>
      </c>
      <c r="P19">
        <f t="shared" si="2"/>
        <v>1758.836151631021</v>
      </c>
      <c r="Q19">
        <v>1699.0113713965643</v>
      </c>
      <c r="R19" s="12">
        <f t="shared" si="3"/>
        <v>3.4013844995725975E-2</v>
      </c>
    </row>
    <row r="20" spans="1:18" x14ac:dyDescent="0.3">
      <c r="B20" t="s">
        <v>1799</v>
      </c>
      <c r="C20">
        <v>200.89769999999999</v>
      </c>
      <c r="D20" t="s">
        <v>831</v>
      </c>
      <c r="E20">
        <v>347.01160298999997</v>
      </c>
      <c r="F20">
        <v>337.54761531325056</v>
      </c>
      <c r="G20">
        <v>322.45315191368309</v>
      </c>
      <c r="H20">
        <f t="shared" si="0"/>
        <v>322.45315191368309</v>
      </c>
      <c r="I20">
        <v>252.60528065743807</v>
      </c>
      <c r="J20" s="12">
        <f t="shared" si="1"/>
        <v>0.2166140130487621</v>
      </c>
      <c r="K20" t="s">
        <v>831</v>
      </c>
      <c r="L20" t="s">
        <v>831</v>
      </c>
      <c r="M20">
        <v>1769.4187633500001</v>
      </c>
      <c r="N20">
        <v>1769.4187633508227</v>
      </c>
      <c r="O20">
        <v>1760.3597205377405</v>
      </c>
      <c r="P20">
        <f t="shared" si="2"/>
        <v>1760.3597205377405</v>
      </c>
      <c r="Q20">
        <v>1697.601469307665</v>
      </c>
      <c r="R20" s="12">
        <f t="shared" si="3"/>
        <v>3.5650810739355387E-2</v>
      </c>
    </row>
    <row r="21" spans="1:18" x14ac:dyDescent="0.3">
      <c r="B21" t="s">
        <v>1800</v>
      </c>
      <c r="C21">
        <v>215.86070000000001</v>
      </c>
      <c r="D21" t="s">
        <v>831</v>
      </c>
      <c r="E21">
        <v>348.67897973999999</v>
      </c>
      <c r="F21">
        <v>336.4004596942421</v>
      </c>
      <c r="G21">
        <v>293.32710989082091</v>
      </c>
      <c r="H21">
        <f t="shared" si="0"/>
        <v>293.32710989082091</v>
      </c>
      <c r="I21">
        <v>280.69345257135177</v>
      </c>
      <c r="J21" s="12">
        <f t="shared" si="1"/>
        <v>4.3070200105852822E-2</v>
      </c>
      <c r="K21" t="s">
        <v>831</v>
      </c>
      <c r="L21" t="s">
        <v>831</v>
      </c>
      <c r="M21">
        <v>1810.7983752</v>
      </c>
      <c r="N21">
        <v>1810.7983751956524</v>
      </c>
      <c r="O21">
        <v>1784.420821272503</v>
      </c>
      <c r="P21">
        <f t="shared" si="2"/>
        <v>1784.420821272503</v>
      </c>
      <c r="Q21">
        <v>1617.1771751392848</v>
      </c>
      <c r="R21" s="12">
        <f t="shared" si="3"/>
        <v>9.3724330124075578E-2</v>
      </c>
    </row>
    <row r="22" spans="1:18" x14ac:dyDescent="0.3">
      <c r="B22" t="s">
        <v>1801</v>
      </c>
      <c r="C22" t="s">
        <v>831</v>
      </c>
      <c r="D22" t="s">
        <v>831</v>
      </c>
      <c r="E22">
        <v>396.54088689999998</v>
      </c>
      <c r="F22">
        <v>386.31896932749197</v>
      </c>
      <c r="G22">
        <v>337.10442587511358</v>
      </c>
      <c r="H22">
        <f t="shared" si="0"/>
        <v>337.10442587511358</v>
      </c>
      <c r="I22">
        <v>295.91031548807416</v>
      </c>
      <c r="J22" s="12">
        <f t="shared" si="1"/>
        <v>0.12219985032857598</v>
      </c>
      <c r="K22" t="s">
        <v>831</v>
      </c>
      <c r="L22" t="s">
        <v>831</v>
      </c>
      <c r="M22">
        <v>1916.54900888</v>
      </c>
      <c r="N22">
        <v>1916.5490088828678</v>
      </c>
      <c r="O22">
        <v>1910.9345525690005</v>
      </c>
      <c r="P22">
        <f t="shared" si="2"/>
        <v>1910.9345525690005</v>
      </c>
      <c r="Q22">
        <v>1837.4136781124437</v>
      </c>
      <c r="R22" s="12">
        <f t="shared" si="3"/>
        <v>3.8473779417362922E-2</v>
      </c>
    </row>
    <row r="23" spans="1:18" x14ac:dyDescent="0.3">
      <c r="A23" t="s">
        <v>597</v>
      </c>
      <c r="B23" t="s">
        <v>1802</v>
      </c>
      <c r="C23">
        <v>308.32679999999999</v>
      </c>
      <c r="D23" t="s">
        <v>831</v>
      </c>
      <c r="E23">
        <v>512.01876425</v>
      </c>
      <c r="F23">
        <v>512.01876424889235</v>
      </c>
      <c r="G23">
        <v>470.00850554313564</v>
      </c>
      <c r="H23">
        <f t="shared" si="0"/>
        <v>470.00850554313564</v>
      </c>
      <c r="I23">
        <v>396.1062298661318</v>
      </c>
      <c r="J23" s="12">
        <f t="shared" si="1"/>
        <v>0.15723603893423874</v>
      </c>
      <c r="K23" t="s">
        <v>831</v>
      </c>
      <c r="L23" t="s">
        <v>831</v>
      </c>
      <c r="M23">
        <v>2628.27781671</v>
      </c>
      <c r="N23">
        <v>2628.2778167134284</v>
      </c>
      <c r="O23">
        <v>2624.2877471526199</v>
      </c>
      <c r="P23">
        <f t="shared" si="2"/>
        <v>2624.2877471526199</v>
      </c>
      <c r="Q23">
        <v>2530.4166491521605</v>
      </c>
      <c r="R23" s="12">
        <f t="shared" si="3"/>
        <v>3.5770123951655269E-2</v>
      </c>
    </row>
    <row r="24" spans="1:18" x14ac:dyDescent="0.3">
      <c r="B24" t="s">
        <v>1803</v>
      </c>
      <c r="C24">
        <v>276.31970000000001</v>
      </c>
      <c r="D24" t="s">
        <v>831</v>
      </c>
      <c r="E24">
        <v>505.60775784999998</v>
      </c>
      <c r="F24">
        <v>493.06308198393799</v>
      </c>
      <c r="G24">
        <v>467.25810398684257</v>
      </c>
      <c r="H24">
        <f t="shared" si="0"/>
        <v>467.25810398684257</v>
      </c>
      <c r="I24">
        <v>372.2120198442268</v>
      </c>
      <c r="J24" s="12">
        <f t="shared" si="1"/>
        <v>0.20341238243198487</v>
      </c>
      <c r="K24" t="s">
        <v>831</v>
      </c>
      <c r="L24" t="s">
        <v>831</v>
      </c>
      <c r="M24">
        <v>2489.2333634299998</v>
      </c>
      <c r="N24">
        <v>2489.2333634341867</v>
      </c>
      <c r="O24">
        <v>2472.899430628936</v>
      </c>
      <c r="P24">
        <f t="shared" si="2"/>
        <v>2472.899430628936</v>
      </c>
      <c r="Q24">
        <v>2444.015455984334</v>
      </c>
      <c r="R24" s="12">
        <f t="shared" si="3"/>
        <v>1.1680205950492635E-2</v>
      </c>
    </row>
    <row r="25" spans="1:18" x14ac:dyDescent="0.3">
      <c r="B25" t="s">
        <v>1804</v>
      </c>
      <c r="C25">
        <v>302.69369999999998</v>
      </c>
      <c r="D25" t="s">
        <v>831</v>
      </c>
      <c r="E25">
        <v>485.95009041999998</v>
      </c>
      <c r="F25">
        <v>462.66549612787236</v>
      </c>
      <c r="G25">
        <v>396.84192610446109</v>
      </c>
      <c r="H25">
        <f t="shared" si="0"/>
        <v>396.84192610446109</v>
      </c>
      <c r="I25">
        <v>380.47026685783743</v>
      </c>
      <c r="J25" s="12">
        <f t="shared" si="1"/>
        <v>4.125486288037554E-2</v>
      </c>
      <c r="K25" t="s">
        <v>831</v>
      </c>
      <c r="L25" t="s">
        <v>831</v>
      </c>
      <c r="M25">
        <v>2431.4721356700002</v>
      </c>
      <c r="N25">
        <v>2431.472135671559</v>
      </c>
      <c r="O25">
        <v>2421.0646034384959</v>
      </c>
      <c r="P25">
        <f t="shared" si="2"/>
        <v>2421.0646034384959</v>
      </c>
      <c r="Q25">
        <v>2322.5820588080342</v>
      </c>
      <c r="R25" s="12">
        <f t="shared" si="3"/>
        <v>4.0677371636672857E-2</v>
      </c>
    </row>
    <row r="26" spans="1:18" x14ac:dyDescent="0.3">
      <c r="B26" t="s">
        <v>1805</v>
      </c>
      <c r="C26">
        <v>288.69060000000002</v>
      </c>
      <c r="D26" t="s">
        <v>831</v>
      </c>
      <c r="E26">
        <v>459.95525519</v>
      </c>
      <c r="F26">
        <v>452.15871014547923</v>
      </c>
      <c r="G26">
        <v>429.10312486738792</v>
      </c>
      <c r="H26">
        <f t="shared" si="0"/>
        <v>429.10312486738792</v>
      </c>
      <c r="I26">
        <v>355.96800589413823</v>
      </c>
      <c r="J26" s="12">
        <f t="shared" si="1"/>
        <v>0.17043716238573586</v>
      </c>
      <c r="K26" t="s">
        <v>831</v>
      </c>
      <c r="L26" t="s">
        <v>831</v>
      </c>
      <c r="M26">
        <v>2621.9457205600002</v>
      </c>
      <c r="N26">
        <v>2621.9457205559188</v>
      </c>
      <c r="O26">
        <v>2594.4888374727238</v>
      </c>
      <c r="P26">
        <f t="shared" si="2"/>
        <v>2594.4888374727238</v>
      </c>
      <c r="Q26">
        <v>2497.0165783656589</v>
      </c>
      <c r="R26" s="12">
        <f t="shared" si="3"/>
        <v>3.7568964529449307E-2</v>
      </c>
    </row>
    <row r="27" spans="1:18" x14ac:dyDescent="0.3">
      <c r="B27" t="s">
        <v>1806</v>
      </c>
      <c r="C27">
        <v>289.44619999999998</v>
      </c>
      <c r="D27" t="s">
        <v>831</v>
      </c>
      <c r="E27">
        <v>496.29280845</v>
      </c>
      <c r="F27">
        <v>487.9726660085289</v>
      </c>
      <c r="G27">
        <v>393.01949209820719</v>
      </c>
      <c r="H27">
        <f t="shared" si="0"/>
        <v>393.01949209820719</v>
      </c>
      <c r="I27">
        <v>353.14750299095687</v>
      </c>
      <c r="J27" s="12">
        <f t="shared" si="1"/>
        <v>0.1014504112617579</v>
      </c>
      <c r="K27" t="s">
        <v>831</v>
      </c>
      <c r="L27" t="s">
        <v>831</v>
      </c>
      <c r="M27">
        <v>2537.2195221400002</v>
      </c>
      <c r="N27">
        <v>2537.2195221448696</v>
      </c>
      <c r="O27">
        <v>2528.6291866627716</v>
      </c>
      <c r="P27">
        <f t="shared" si="2"/>
        <v>2528.6291866627716</v>
      </c>
      <c r="Q27">
        <v>2337.4109040825592</v>
      </c>
      <c r="R27" s="12">
        <f t="shared" si="3"/>
        <v>7.5621322251910747E-2</v>
      </c>
    </row>
    <row r="31" spans="1:18" x14ac:dyDescent="0.3">
      <c r="C31">
        <f>AVERAGE(C3:C7)</f>
        <v>31.512540000000001</v>
      </c>
      <c r="D31">
        <f t="shared" ref="D31:G31" si="4">AVERAGE(D3:D7)</f>
        <v>31.574306750312257</v>
      </c>
      <c r="E31">
        <f t="shared" si="4"/>
        <v>42.019905258000009</v>
      </c>
      <c r="F31">
        <f t="shared" si="4"/>
        <v>31.575508471041452</v>
      </c>
      <c r="G31">
        <f t="shared" si="4"/>
        <v>31.748696446756309</v>
      </c>
      <c r="I31">
        <f t="shared" ref="I31:R31" si="5">AVERAGE(I3:I7)</f>
        <v>31.847046180386098</v>
      </c>
      <c r="K31">
        <f t="shared" si="5"/>
        <v>129.15325999999999</v>
      </c>
      <c r="L31">
        <f t="shared" si="5"/>
        <v>1655.5501310334209</v>
      </c>
      <c r="M31">
        <f t="shared" si="5"/>
        <v>256.49361001799997</v>
      </c>
      <c r="N31">
        <f t="shared" si="5"/>
        <v>251.5872844563583</v>
      </c>
      <c r="O31">
        <f t="shared" si="5"/>
        <v>189.25452207400048</v>
      </c>
      <c r="Q31">
        <f t="shared" si="5"/>
        <v>186.29382148579165</v>
      </c>
      <c r="R31">
        <f t="shared" si="5"/>
        <v>-1.3240424138148191E-3</v>
      </c>
    </row>
    <row r="32" spans="1:18" x14ac:dyDescent="0.3">
      <c r="C32">
        <f>AVERAGE(C8:C12)</f>
        <v>74.676639999999992</v>
      </c>
      <c r="D32">
        <f t="shared" ref="D32:G32" si="6">AVERAGE(D8:D12)</f>
        <v>1459.1088164302032</v>
      </c>
      <c r="E32">
        <f t="shared" si="6"/>
        <v>147.61281836999999</v>
      </c>
      <c r="F32">
        <f t="shared" si="6"/>
        <v>142.84572953232828</v>
      </c>
      <c r="G32">
        <f t="shared" si="6"/>
        <v>106.52156895987359</v>
      </c>
      <c r="I32">
        <f t="shared" ref="I32:R32" si="7">AVERAGE(I8:I12)</f>
        <v>100.73423543468296</v>
      </c>
      <c r="K32">
        <f t="shared" si="7"/>
        <v>373.14380000000006</v>
      </c>
      <c r="M32">
        <f t="shared" si="7"/>
        <v>741.18630408199999</v>
      </c>
      <c r="N32">
        <f t="shared" si="7"/>
        <v>741.18630408235981</v>
      </c>
      <c r="O32">
        <f t="shared" si="7"/>
        <v>642.67771367325133</v>
      </c>
      <c r="Q32">
        <f t="shared" si="7"/>
        <v>567.31309182289647</v>
      </c>
      <c r="R32">
        <f t="shared" si="7"/>
        <v>0.11788674740622307</v>
      </c>
    </row>
    <row r="33" spans="3:18" x14ac:dyDescent="0.3">
      <c r="C33">
        <f>AVERAGE(C13:C17)</f>
        <v>144.31746000000001</v>
      </c>
      <c r="E33">
        <f t="shared" ref="E33:G33" si="8">AVERAGE(E13:E17)</f>
        <v>266.00776520600004</v>
      </c>
      <c r="F33">
        <f t="shared" si="8"/>
        <v>258.57727889044111</v>
      </c>
      <c r="G33">
        <f t="shared" si="8"/>
        <v>207.70252335986191</v>
      </c>
      <c r="I33">
        <f t="shared" ref="I33:R33" si="9">AVERAGE(I13:I17)</f>
        <v>189.14696829442201</v>
      </c>
      <c r="M33">
        <f t="shared" si="9"/>
        <v>1268.24407402</v>
      </c>
      <c r="N33">
        <f t="shared" si="9"/>
        <v>1268.2440740187626</v>
      </c>
      <c r="O33">
        <f t="shared" si="9"/>
        <v>1243.0955494265522</v>
      </c>
      <c r="Q33">
        <f t="shared" si="9"/>
        <v>1144.765354717845</v>
      </c>
      <c r="R33">
        <f t="shared" si="9"/>
        <v>7.8616704741520979E-2</v>
      </c>
    </row>
    <row r="34" spans="3:18" x14ac:dyDescent="0.3">
      <c r="C34">
        <f>AVERAGE(C18:C22)</f>
        <v>206.06977499999999</v>
      </c>
      <c r="E34">
        <f t="shared" ref="E34:G34" si="10">AVERAGE(E18:E22)</f>
        <v>354.822236766</v>
      </c>
      <c r="F34">
        <f t="shared" si="10"/>
        <v>344.63203181954958</v>
      </c>
      <c r="G34">
        <f t="shared" si="10"/>
        <v>306.64215702497256</v>
      </c>
      <c r="I34">
        <f t="shared" ref="I34:R34" si="11">AVERAGE(I18:I22)</f>
        <v>270.67427313101746</v>
      </c>
      <c r="M34">
        <f t="shared" si="11"/>
        <v>1828.29802346</v>
      </c>
      <c r="N34">
        <f t="shared" si="11"/>
        <v>1828.2980234603281</v>
      </c>
      <c r="O34">
        <f t="shared" si="11"/>
        <v>1818.2487902093544</v>
      </c>
      <c r="Q34">
        <f t="shared" si="11"/>
        <v>1732.6139867206371</v>
      </c>
      <c r="R34">
        <f t="shared" si="11"/>
        <v>4.7281139124328776E-2</v>
      </c>
    </row>
    <row r="35" spans="3:18" x14ac:dyDescent="0.3">
      <c r="C35">
        <f>AVERAGE(C23:C27)</f>
        <v>293.09539999999998</v>
      </c>
      <c r="E35">
        <f t="shared" ref="E35:G35" si="12">AVERAGE(E23:E27)</f>
        <v>491.96493523199996</v>
      </c>
      <c r="F35">
        <f t="shared" si="12"/>
        <v>481.57574370294225</v>
      </c>
      <c r="G35">
        <f t="shared" si="12"/>
        <v>431.24623052000686</v>
      </c>
      <c r="I35">
        <f t="shared" ref="I35:R35" si="13">AVERAGE(I23:I27)</f>
        <v>371.5808050906582</v>
      </c>
      <c r="M35">
        <f t="shared" si="13"/>
        <v>2541.6297117019999</v>
      </c>
      <c r="N35">
        <f t="shared" si="13"/>
        <v>2541.6297117039926</v>
      </c>
      <c r="O35">
        <f t="shared" si="13"/>
        <v>2528.2739610711092</v>
      </c>
      <c r="Q35">
        <f t="shared" si="13"/>
        <v>2426.2883292785491</v>
      </c>
      <c r="R35">
        <f t="shared" si="13"/>
        <v>4.0263597664036165E-2</v>
      </c>
    </row>
    <row r="38" spans="3:18" x14ac:dyDescent="0.3">
      <c r="E38">
        <v>42.019905258000009</v>
      </c>
      <c r="F38">
        <v>31.847046180386098</v>
      </c>
      <c r="G38">
        <f>(E38-F38)/E38</f>
        <v>0.24209619262949525</v>
      </c>
      <c r="I38">
        <v>256.49361001799997</v>
      </c>
      <c r="J38">
        <v>186.29382148579165</v>
      </c>
      <c r="K38">
        <f>(I38-J38)/I38</f>
        <v>0.27369020431846974</v>
      </c>
    </row>
    <row r="39" spans="3:18" x14ac:dyDescent="0.3">
      <c r="E39">
        <v>147.61281836999999</v>
      </c>
      <c r="F39">
        <v>100.73423543468296</v>
      </c>
      <c r="G39">
        <f t="shared" ref="G39:G42" si="14">(E39-F39)/E39</f>
        <v>0.31757799527824998</v>
      </c>
      <c r="I39">
        <v>741.18630408199999</v>
      </c>
      <c r="J39">
        <v>567.31309182289647</v>
      </c>
      <c r="K39">
        <f t="shared" ref="K39:K42" si="15">(I39-J39)/I39</f>
        <v>0.2345877295647753</v>
      </c>
    </row>
    <row r="40" spans="3:18" x14ac:dyDescent="0.3">
      <c r="E40">
        <v>266.00776520600004</v>
      </c>
      <c r="F40">
        <v>189.14696829442201</v>
      </c>
      <c r="G40">
        <f t="shared" si="14"/>
        <v>0.2889419293908807</v>
      </c>
      <c r="I40">
        <v>1268.24407402</v>
      </c>
      <c r="J40">
        <v>1144.765354717845</v>
      </c>
      <c r="K40">
        <f t="shared" si="15"/>
        <v>9.7361952507106914E-2</v>
      </c>
    </row>
    <row r="41" spans="3:18" x14ac:dyDescent="0.3">
      <c r="E41">
        <v>354.822236766</v>
      </c>
      <c r="F41">
        <v>270.67427313101746</v>
      </c>
      <c r="G41">
        <f t="shared" si="14"/>
        <v>0.23715527076866064</v>
      </c>
      <c r="I41">
        <v>1828.29802346</v>
      </c>
      <c r="J41">
        <v>1732.6139867206371</v>
      </c>
      <c r="K41">
        <f t="shared" si="15"/>
        <v>5.2335032643246911E-2</v>
      </c>
    </row>
    <row r="42" spans="3:18" x14ac:dyDescent="0.3">
      <c r="E42">
        <v>491.96493523199996</v>
      </c>
      <c r="F42">
        <v>371.5808050906582</v>
      </c>
      <c r="G42">
        <f t="shared" si="14"/>
        <v>0.24470063112236082</v>
      </c>
      <c r="I42">
        <v>2541.6297117019999</v>
      </c>
      <c r="J42">
        <v>2426.2883292785491</v>
      </c>
      <c r="K42">
        <f t="shared" si="15"/>
        <v>4.5380875857881184E-2</v>
      </c>
    </row>
    <row r="46" spans="3:18" x14ac:dyDescent="0.3">
      <c r="D46" t="s">
        <v>1772</v>
      </c>
      <c r="E46">
        <v>55.931089980000003</v>
      </c>
      <c r="F46">
        <v>25.9</v>
      </c>
      <c r="G46">
        <v>30.04</v>
      </c>
      <c r="H46">
        <v>0</v>
      </c>
      <c r="L46" t="s">
        <v>1694</v>
      </c>
      <c r="M46" t="s">
        <v>1947</v>
      </c>
      <c r="N46" t="s">
        <v>1946</v>
      </c>
      <c r="O46" t="s">
        <v>1948</v>
      </c>
    </row>
    <row r="47" spans="3:18" x14ac:dyDescent="0.3">
      <c r="D47" t="s">
        <v>1773</v>
      </c>
      <c r="E47">
        <v>57.656505899999999</v>
      </c>
      <c r="F47">
        <v>26.78</v>
      </c>
      <c r="G47">
        <v>30.87</v>
      </c>
      <c r="H47">
        <v>0</v>
      </c>
      <c r="L47">
        <v>862.97345934468626</v>
      </c>
      <c r="M47">
        <v>378.60054345447782</v>
      </c>
      <c r="N47">
        <v>484.37291589020833</v>
      </c>
      <c r="O47">
        <v>0</v>
      </c>
    </row>
    <row r="48" spans="3:18" x14ac:dyDescent="0.3">
      <c r="D48" t="s">
        <v>1774</v>
      </c>
      <c r="E48">
        <v>20.29128236</v>
      </c>
      <c r="F48">
        <v>20.29</v>
      </c>
      <c r="G48">
        <v>0</v>
      </c>
      <c r="H48">
        <v>0</v>
      </c>
      <c r="L48">
        <v>788.41447172463461</v>
      </c>
      <c r="M48">
        <v>423.3849331482345</v>
      </c>
      <c r="N48">
        <v>365.02953857640006</v>
      </c>
      <c r="O48">
        <v>0</v>
      </c>
    </row>
    <row r="49" spans="4:15" x14ac:dyDescent="0.3">
      <c r="D49" t="s">
        <v>1775</v>
      </c>
      <c r="E49">
        <v>28.936699690000001</v>
      </c>
      <c r="F49">
        <v>21.41</v>
      </c>
      <c r="G49">
        <v>7.52</v>
      </c>
      <c r="H49">
        <v>0</v>
      </c>
      <c r="L49">
        <v>370.90788136219157</v>
      </c>
      <c r="M49">
        <v>293.4486403906364</v>
      </c>
      <c r="N49">
        <v>77.459240971555175</v>
      </c>
      <c r="O49">
        <v>0</v>
      </c>
    </row>
    <row r="50" spans="4:15" x14ac:dyDescent="0.3">
      <c r="D50" t="s">
        <v>1776</v>
      </c>
      <c r="E50">
        <v>47.283948359999997</v>
      </c>
      <c r="F50">
        <v>23.19</v>
      </c>
      <c r="G50">
        <v>24.09</v>
      </c>
      <c r="H50">
        <v>0</v>
      </c>
      <c r="L50">
        <v>365.55004124325694</v>
      </c>
      <c r="M50">
        <v>304.35492001092166</v>
      </c>
      <c r="N50">
        <v>61.195121232335261</v>
      </c>
      <c r="O50">
        <v>0</v>
      </c>
    </row>
    <row r="51" spans="4:15" x14ac:dyDescent="0.3">
      <c r="D51" t="s">
        <v>1782</v>
      </c>
      <c r="E51">
        <v>143.50523222999999</v>
      </c>
      <c r="F51">
        <v>78.099999999999994</v>
      </c>
      <c r="G51">
        <v>65.41</v>
      </c>
      <c r="H51">
        <v>0</v>
      </c>
      <c r="L51">
        <v>705.46670538717126</v>
      </c>
      <c r="M51">
        <v>414.37130199488524</v>
      </c>
      <c r="N51">
        <v>291.09540339228602</v>
      </c>
      <c r="O51">
        <v>0</v>
      </c>
    </row>
    <row r="52" spans="4:15" x14ac:dyDescent="0.3">
      <c r="D52" t="s">
        <v>1783</v>
      </c>
      <c r="E52">
        <v>136.68911327999999</v>
      </c>
      <c r="F52">
        <v>82.6</v>
      </c>
      <c r="G52">
        <v>54.09</v>
      </c>
      <c r="H52">
        <v>0</v>
      </c>
      <c r="L52">
        <v>1658.1129797411168</v>
      </c>
      <c r="M52">
        <v>1119.8281215034374</v>
      </c>
      <c r="N52">
        <v>538.28485823767949</v>
      </c>
      <c r="O52">
        <v>0</v>
      </c>
    </row>
    <row r="53" spans="4:15" x14ac:dyDescent="0.3">
      <c r="D53" t="s">
        <v>1784</v>
      </c>
      <c r="E53">
        <v>143.75224972999999</v>
      </c>
      <c r="F53">
        <v>75.62</v>
      </c>
      <c r="G53">
        <v>68.13</v>
      </c>
      <c r="H53">
        <v>0</v>
      </c>
      <c r="L53">
        <v>2123.6600430172175</v>
      </c>
      <c r="M53">
        <v>1169.4211164963262</v>
      </c>
      <c r="N53">
        <v>894.23892652089125</v>
      </c>
      <c r="O53">
        <v>60</v>
      </c>
    </row>
    <row r="54" spans="4:15" x14ac:dyDescent="0.3">
      <c r="D54" t="s">
        <v>1785</v>
      </c>
      <c r="E54">
        <v>159.07776181</v>
      </c>
      <c r="F54">
        <v>83.01</v>
      </c>
      <c r="G54">
        <v>76.069999999999993</v>
      </c>
      <c r="H54">
        <v>0</v>
      </c>
      <c r="L54">
        <v>1514.9314180331291</v>
      </c>
      <c r="M54">
        <v>1049.7606862509538</v>
      </c>
      <c r="N54">
        <v>425.17073178217561</v>
      </c>
      <c r="O54">
        <v>40</v>
      </c>
    </row>
    <row r="55" spans="4:15" x14ac:dyDescent="0.3">
      <c r="D55" t="s">
        <v>1786</v>
      </c>
      <c r="E55">
        <v>155.03973479999999</v>
      </c>
      <c r="F55">
        <v>84.62</v>
      </c>
      <c r="G55">
        <v>70.42</v>
      </c>
      <c r="H55">
        <v>0</v>
      </c>
      <c r="L55">
        <v>2208.1791000182839</v>
      </c>
      <c r="M55">
        <v>1188.3423890045704</v>
      </c>
      <c r="N55">
        <v>939.83671101371374</v>
      </c>
      <c r="O55">
        <v>80</v>
      </c>
    </row>
    <row r="56" spans="4:15" x14ac:dyDescent="0.3">
      <c r="D56" t="s">
        <v>1792</v>
      </c>
      <c r="E56">
        <v>262.99802846</v>
      </c>
      <c r="F56">
        <v>164.65</v>
      </c>
      <c r="G56">
        <v>98.35</v>
      </c>
      <c r="H56">
        <v>0</v>
      </c>
      <c r="L56">
        <v>2006.1791900098801</v>
      </c>
      <c r="M56">
        <v>1117.6310571759157</v>
      </c>
      <c r="N56">
        <v>828.54813283396459</v>
      </c>
      <c r="O56">
        <v>60</v>
      </c>
    </row>
    <row r="57" spans="4:15" x14ac:dyDescent="0.3">
      <c r="D57" t="s">
        <v>1793</v>
      </c>
      <c r="E57">
        <v>294.01645559000002</v>
      </c>
      <c r="F57">
        <v>151.01</v>
      </c>
      <c r="G57">
        <v>143.01</v>
      </c>
      <c r="H57">
        <v>0</v>
      </c>
      <c r="L57">
        <v>3702.3262797330731</v>
      </c>
      <c r="M57">
        <v>2117.7989604149875</v>
      </c>
      <c r="N57">
        <v>1464.5273193180858</v>
      </c>
      <c r="O57">
        <v>120</v>
      </c>
    </row>
    <row r="58" spans="4:15" x14ac:dyDescent="0.3">
      <c r="D58" t="s">
        <v>1794</v>
      </c>
      <c r="E58">
        <v>326.96103498000002</v>
      </c>
      <c r="F58">
        <v>171.77</v>
      </c>
      <c r="G58">
        <v>155.19</v>
      </c>
      <c r="H58">
        <v>0</v>
      </c>
      <c r="L58">
        <v>4030.1073049317256</v>
      </c>
      <c r="M58">
        <v>2082.0016434096729</v>
      </c>
      <c r="N58">
        <v>1868.1056615220532</v>
      </c>
      <c r="O58">
        <v>80</v>
      </c>
    </row>
    <row r="59" spans="4:15" x14ac:dyDescent="0.3">
      <c r="D59" t="s">
        <v>1795</v>
      </c>
      <c r="E59">
        <v>220.33714198000001</v>
      </c>
      <c r="F59">
        <v>139.46</v>
      </c>
      <c r="G59">
        <v>80.88</v>
      </c>
      <c r="H59">
        <v>0</v>
      </c>
      <c r="L59">
        <v>3687.3624634584658</v>
      </c>
      <c r="M59">
        <v>2036.0205434967784</v>
      </c>
      <c r="N59">
        <v>1571.3419199616876</v>
      </c>
      <c r="O59">
        <v>80</v>
      </c>
    </row>
    <row r="60" spans="4:15" x14ac:dyDescent="0.3">
      <c r="D60" t="s">
        <v>1796</v>
      </c>
      <c r="E60">
        <v>225.72616502</v>
      </c>
      <c r="F60">
        <v>164.92</v>
      </c>
      <c r="G60">
        <v>60.81</v>
      </c>
      <c r="H60">
        <v>0</v>
      </c>
      <c r="L60">
        <v>3364.3702145138936</v>
      </c>
      <c r="M60">
        <v>2055.0495403661971</v>
      </c>
      <c r="N60">
        <v>1249.3206741476961</v>
      </c>
      <c r="O60">
        <v>60</v>
      </c>
    </row>
    <row r="61" spans="4:15" x14ac:dyDescent="0.3">
      <c r="D61" t="s">
        <v>1797</v>
      </c>
      <c r="E61">
        <v>335.33493076000002</v>
      </c>
      <c r="F61">
        <v>218.3</v>
      </c>
      <c r="G61">
        <v>117.04</v>
      </c>
      <c r="H61">
        <v>0</v>
      </c>
      <c r="L61">
        <v>3777.192355029094</v>
      </c>
      <c r="M61">
        <v>2046.262079844827</v>
      </c>
      <c r="N61">
        <v>1610.9302751842674</v>
      </c>
      <c r="O61">
        <v>120</v>
      </c>
    </row>
    <row r="62" spans="4:15" x14ac:dyDescent="0.3">
      <c r="D62" t="s">
        <v>1798</v>
      </c>
      <c r="E62">
        <v>346.54478344</v>
      </c>
      <c r="F62">
        <v>226.28</v>
      </c>
      <c r="G62">
        <v>120.26</v>
      </c>
      <c r="H62">
        <v>0</v>
      </c>
      <c r="L62">
        <v>5288.1332742748345</v>
      </c>
      <c r="M62">
        <v>3265.036899820479</v>
      </c>
      <c r="N62">
        <v>1903.0963744543551</v>
      </c>
      <c r="O62">
        <v>120</v>
      </c>
    </row>
    <row r="63" spans="4:15" x14ac:dyDescent="0.3">
      <c r="D63" t="s">
        <v>1799</v>
      </c>
      <c r="E63">
        <v>347.01160298999997</v>
      </c>
      <c r="F63">
        <v>219.28</v>
      </c>
      <c r="G63">
        <v>127.73</v>
      </c>
      <c r="H63">
        <v>0</v>
      </c>
      <c r="L63">
        <v>5651.0954221256598</v>
      </c>
      <c r="M63">
        <v>3174.9374769981055</v>
      </c>
      <c r="N63">
        <v>2356.1579451275538</v>
      </c>
      <c r="O63">
        <v>120</v>
      </c>
    </row>
    <row r="64" spans="4:15" x14ac:dyDescent="0.3">
      <c r="D64" t="s">
        <v>1800</v>
      </c>
      <c r="E64">
        <v>348.67897973999999</v>
      </c>
      <c r="F64">
        <v>239.24</v>
      </c>
      <c r="G64">
        <v>109.44</v>
      </c>
      <c r="H64">
        <v>0</v>
      </c>
      <c r="L64">
        <v>5282.2793418530573</v>
      </c>
      <c r="M64">
        <v>3294.5448042654743</v>
      </c>
      <c r="N64">
        <v>1867.7345375875839</v>
      </c>
      <c r="O64">
        <v>120</v>
      </c>
    </row>
    <row r="65" spans="4:15" x14ac:dyDescent="0.3">
      <c r="D65" t="s">
        <v>1801</v>
      </c>
      <c r="E65">
        <v>396.54088689999998</v>
      </c>
      <c r="F65">
        <v>226.7</v>
      </c>
      <c r="G65">
        <v>169.84</v>
      </c>
      <c r="H65">
        <v>0</v>
      </c>
      <c r="L65">
        <v>5409.7899468381893</v>
      </c>
      <c r="M65">
        <v>3300.8841828308164</v>
      </c>
      <c r="N65">
        <v>1988.905764007374</v>
      </c>
      <c r="O65">
        <v>120</v>
      </c>
    </row>
    <row r="66" spans="4:15" x14ac:dyDescent="0.3">
      <c r="D66" t="s">
        <v>1802</v>
      </c>
      <c r="E66">
        <v>512.01876425</v>
      </c>
      <c r="F66">
        <v>332.96</v>
      </c>
      <c r="G66">
        <v>179.06</v>
      </c>
      <c r="H66">
        <v>0</v>
      </c>
      <c r="L66">
        <v>6406.0687676464622</v>
      </c>
      <c r="M66">
        <v>3227.9884413281238</v>
      </c>
      <c r="N66">
        <v>3058.0803263183379</v>
      </c>
      <c r="O66">
        <v>120</v>
      </c>
    </row>
    <row r="67" spans="4:15" x14ac:dyDescent="0.3">
      <c r="D67" t="s">
        <v>1803</v>
      </c>
      <c r="E67">
        <v>505.60775784999998</v>
      </c>
      <c r="F67">
        <v>299.55</v>
      </c>
      <c r="G67">
        <v>206.06</v>
      </c>
      <c r="H67">
        <v>0</v>
      </c>
      <c r="L67">
        <v>7932.2001427305386</v>
      </c>
      <c r="M67">
        <v>4624.012454415596</v>
      </c>
      <c r="N67">
        <v>3188.1876883149425</v>
      </c>
      <c r="O67">
        <v>120</v>
      </c>
    </row>
    <row r="68" spans="4:15" x14ac:dyDescent="0.3">
      <c r="D68" t="s">
        <v>1804</v>
      </c>
      <c r="E68">
        <v>485.95009041999998</v>
      </c>
      <c r="F68">
        <v>329.66</v>
      </c>
      <c r="G68">
        <v>136.29</v>
      </c>
      <c r="H68">
        <v>20</v>
      </c>
      <c r="L68">
        <v>7998.07580301915</v>
      </c>
      <c r="M68">
        <v>4701.2432626854034</v>
      </c>
      <c r="N68">
        <v>3156.8325403337476</v>
      </c>
      <c r="O68">
        <v>140</v>
      </c>
    </row>
    <row r="69" spans="4:15" x14ac:dyDescent="0.3">
      <c r="D69" t="s">
        <v>1805</v>
      </c>
      <c r="E69">
        <v>459.95525519</v>
      </c>
      <c r="F69">
        <v>308.14999999999998</v>
      </c>
      <c r="G69">
        <v>151.81</v>
      </c>
      <c r="H69">
        <v>0</v>
      </c>
      <c r="L69">
        <v>7644.3991864824111</v>
      </c>
      <c r="M69">
        <v>4671.0938706174575</v>
      </c>
      <c r="N69">
        <v>2853.3053158649554</v>
      </c>
      <c r="O69">
        <v>120</v>
      </c>
    </row>
    <row r="70" spans="4:15" x14ac:dyDescent="0.3">
      <c r="D70" t="s">
        <v>1806</v>
      </c>
      <c r="E70">
        <v>496.29280845</v>
      </c>
      <c r="F70">
        <v>312.45</v>
      </c>
      <c r="G70">
        <v>183.84</v>
      </c>
      <c r="H70">
        <v>0</v>
      </c>
      <c r="L70">
        <v>7802.8456916051437</v>
      </c>
      <c r="M70">
        <v>4593.1725200520286</v>
      </c>
      <c r="N70">
        <v>3089.6731715531137</v>
      </c>
      <c r="O70">
        <v>120</v>
      </c>
    </row>
    <row r="71" spans="4:15" x14ac:dyDescent="0.3">
      <c r="L71">
        <v>7612.1226848324768</v>
      </c>
      <c r="M71">
        <v>4617.7848767263922</v>
      </c>
      <c r="N71">
        <v>2874.3378081060846</v>
      </c>
      <c r="O71">
        <v>120</v>
      </c>
    </row>
  </sheetData>
  <mergeCells count="2">
    <mergeCell ref="B1:J1"/>
    <mergeCell ref="K1:R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47F2-3BE8-419B-A8A1-6FD5804EFAE9}">
  <dimension ref="A1:S28"/>
  <sheetViews>
    <sheetView workbookViewId="0">
      <selection activeCell="J3" sqref="J3"/>
    </sheetView>
  </sheetViews>
  <sheetFormatPr defaultRowHeight="14" x14ac:dyDescent="0.3"/>
  <cols>
    <col min="11" max="11" width="9.58203125" bestFit="1" customWidth="1"/>
  </cols>
  <sheetData>
    <row r="1" spans="1:19" x14ac:dyDescent="0.3">
      <c r="A1" s="33" t="s">
        <v>1766</v>
      </c>
      <c r="B1" s="33" t="s">
        <v>1765</v>
      </c>
      <c r="C1" s="33" t="s">
        <v>39</v>
      </c>
      <c r="D1" s="33"/>
      <c r="E1" s="33" t="s">
        <v>819</v>
      </c>
      <c r="F1" s="33"/>
      <c r="G1" s="33" t="s">
        <v>815</v>
      </c>
      <c r="H1" s="33"/>
      <c r="I1" s="33"/>
      <c r="J1" s="16"/>
      <c r="M1" s="33" t="s">
        <v>1766</v>
      </c>
      <c r="N1" s="33" t="s">
        <v>1765</v>
      </c>
      <c r="O1" s="33" t="s">
        <v>819</v>
      </c>
      <c r="P1" s="33"/>
      <c r="Q1" s="33" t="s">
        <v>815</v>
      </c>
      <c r="R1" s="33"/>
      <c r="S1" s="33"/>
    </row>
    <row r="2" spans="1:19" x14ac:dyDescent="0.3">
      <c r="A2" s="33"/>
      <c r="B2" s="33"/>
      <c r="C2" t="s">
        <v>810</v>
      </c>
      <c r="D2" t="s">
        <v>92</v>
      </c>
      <c r="E2" t="s">
        <v>810</v>
      </c>
      <c r="F2" t="s">
        <v>92</v>
      </c>
      <c r="G2" t="s">
        <v>810</v>
      </c>
      <c r="H2" t="s">
        <v>92</v>
      </c>
      <c r="I2" t="s">
        <v>1807</v>
      </c>
      <c r="M2" s="33"/>
      <c r="N2" s="33"/>
      <c r="O2" t="s">
        <v>810</v>
      </c>
      <c r="P2" t="s">
        <v>92</v>
      </c>
      <c r="Q2" t="s">
        <v>810</v>
      </c>
      <c r="R2" t="s">
        <v>92</v>
      </c>
      <c r="S2" t="s">
        <v>1807</v>
      </c>
    </row>
    <row r="3" spans="1:19" x14ac:dyDescent="0.3">
      <c r="A3" t="s">
        <v>1950</v>
      </c>
      <c r="B3" s="24">
        <v>19.113199999999999</v>
      </c>
      <c r="C3" s="28">
        <v>19.113158371209611</v>
      </c>
      <c r="D3" s="29">
        <v>-2.1780173417526615E-6</v>
      </c>
      <c r="E3" s="24">
        <v>32.910009879999997</v>
      </c>
      <c r="F3" s="27">
        <v>0.41922837247109324</v>
      </c>
      <c r="G3" s="24">
        <v>19.120358371209612</v>
      </c>
      <c r="H3" s="27">
        <v>3.7438478247308937E-4</v>
      </c>
      <c r="I3" s="27">
        <v>0.41901085897791246</v>
      </c>
      <c r="K3" s="24"/>
      <c r="M3" t="s">
        <v>1792</v>
      </c>
      <c r="N3" s="24">
        <v>147.82400000000001</v>
      </c>
      <c r="O3" s="24">
        <v>262.99802846</v>
      </c>
      <c r="P3" s="12">
        <v>0.43792734544212403</v>
      </c>
      <c r="Q3" s="28">
        <v>183.37280830517034</v>
      </c>
      <c r="R3" s="12">
        <v>0.19386084901971803</v>
      </c>
      <c r="S3" s="12">
        <v>0.30275976067607691</v>
      </c>
    </row>
    <row r="4" spans="1:19" x14ac:dyDescent="0.3">
      <c r="A4" t="s">
        <v>1768</v>
      </c>
      <c r="B4" s="24">
        <v>22.1524</v>
      </c>
      <c r="C4" s="28">
        <v>22.152430125032964</v>
      </c>
      <c r="D4" s="29">
        <v>1.3598974376240841E-6</v>
      </c>
      <c r="E4" s="24">
        <v>42.891180929999997</v>
      </c>
      <c r="F4" s="27">
        <v>0.48352086560280211</v>
      </c>
      <c r="G4" s="28">
        <v>22.152430125032968</v>
      </c>
      <c r="H4" s="29">
        <v>1.3598974377844599E-6</v>
      </c>
      <c r="I4" s="27">
        <v>0.48352016324319541</v>
      </c>
      <c r="K4" s="24"/>
      <c r="M4" t="s">
        <v>1793</v>
      </c>
      <c r="N4" s="24">
        <v>136.91929999999999</v>
      </c>
      <c r="O4" s="24">
        <v>294.01645559000002</v>
      </c>
      <c r="P4" s="12">
        <v>0.53431416032396783</v>
      </c>
      <c r="Q4" s="28">
        <v>196.21432586195203</v>
      </c>
      <c r="R4" s="12">
        <v>0.30219519192329247</v>
      </c>
      <c r="S4" s="12">
        <v>0.33264168677834505</v>
      </c>
    </row>
    <row r="5" spans="1:19" x14ac:dyDescent="0.3">
      <c r="A5" t="s">
        <v>1769</v>
      </c>
      <c r="B5" s="24">
        <v>2.3319999999999999</v>
      </c>
      <c r="C5" s="28">
        <v>2.3320333963418576</v>
      </c>
      <c r="D5" s="29">
        <v>1.4320696225926614E-5</v>
      </c>
      <c r="E5" s="28">
        <v>2.3320333999999998</v>
      </c>
      <c r="F5" s="29">
        <v>1.4322264852622282E-5</v>
      </c>
      <c r="G5" s="28">
        <v>2.3320333963418576</v>
      </c>
      <c r="H5" s="29">
        <v>1.4320696225926614E-5</v>
      </c>
      <c r="I5" s="27">
        <v>1.5686491598172416E-9</v>
      </c>
      <c r="K5" s="24"/>
      <c r="M5" t="s">
        <v>1794</v>
      </c>
      <c r="N5" s="24">
        <v>158.2567</v>
      </c>
      <c r="O5" s="24">
        <v>326.96103498000002</v>
      </c>
      <c r="P5" s="12">
        <v>0.51597688082410054</v>
      </c>
      <c r="Q5" s="28">
        <v>223.84969477670546</v>
      </c>
      <c r="R5" s="12">
        <v>0.29302248922937235</v>
      </c>
      <c r="S5" s="12">
        <v>0.31536277773772586</v>
      </c>
    </row>
    <row r="6" spans="1:19" x14ac:dyDescent="0.3">
      <c r="A6" t="s">
        <v>1770</v>
      </c>
      <c r="B6" s="24">
        <v>3.9407000000000001</v>
      </c>
      <c r="C6" s="28">
        <v>3.968250290840007</v>
      </c>
      <c r="D6" s="29">
        <v>6.942679725520799E-3</v>
      </c>
      <c r="E6" s="24">
        <v>4.0228502900000001</v>
      </c>
      <c r="F6" s="27">
        <v>2.0420916533784299E-2</v>
      </c>
      <c r="G6" s="28">
        <v>3.9682502908400066</v>
      </c>
      <c r="H6" s="29">
        <v>6.942679725520688E-3</v>
      </c>
      <c r="I6" s="27">
        <v>1.3572466093435823E-2</v>
      </c>
      <c r="K6" s="24"/>
      <c r="M6" t="s">
        <v>1795</v>
      </c>
      <c r="N6" s="24">
        <v>126.3252</v>
      </c>
      <c r="O6" s="24">
        <v>220.33714198000001</v>
      </c>
      <c r="P6" s="12">
        <v>0.42667314795493477</v>
      </c>
      <c r="Q6" s="28">
        <v>169.21303561650905</v>
      </c>
      <c r="R6" s="12">
        <v>0.25345467895101548</v>
      </c>
      <c r="S6" s="12">
        <v>0.23202672914824091</v>
      </c>
    </row>
    <row r="7" spans="1:19" x14ac:dyDescent="0.3">
      <c r="A7" t="s">
        <v>1771</v>
      </c>
      <c r="B7" s="24">
        <v>3.7930000000000001</v>
      </c>
      <c r="C7" s="28">
        <v>3.7929994136695395</v>
      </c>
      <c r="D7" s="29">
        <v>-1.5458227030430852E-7</v>
      </c>
      <c r="E7" s="24">
        <v>3.8937994100000002</v>
      </c>
      <c r="F7" s="27">
        <v>2.5887160427711921E-2</v>
      </c>
      <c r="G7" s="24">
        <v>3.7953994136695393</v>
      </c>
      <c r="H7" s="27">
        <v>6.3219003009205334E-4</v>
      </c>
      <c r="I7" s="27">
        <v>2.5270946438008968E-2</v>
      </c>
      <c r="K7" s="24"/>
      <c r="M7" t="s">
        <v>1796</v>
      </c>
      <c r="N7" s="24">
        <v>152.2621</v>
      </c>
      <c r="O7" s="24">
        <v>225.72616502</v>
      </c>
      <c r="P7" s="12">
        <v>0.32545657705871567</v>
      </c>
      <c r="Q7" s="28">
        <v>173.0849769117732</v>
      </c>
      <c r="R7" s="12">
        <v>0.12030435733534091</v>
      </c>
      <c r="S7" s="12">
        <v>0.23320817993590878</v>
      </c>
    </row>
    <row r="8" spans="1:19" x14ac:dyDescent="0.3">
      <c r="A8" t="s">
        <v>1772</v>
      </c>
      <c r="B8" s="24">
        <v>39.719499999999996</v>
      </c>
      <c r="C8" s="28">
        <v>39.75575014615066</v>
      </c>
      <c r="D8" s="29">
        <v>9.1182146022652317E-4</v>
      </c>
      <c r="E8" s="24">
        <v>55.931089980000003</v>
      </c>
      <c r="F8" s="27">
        <v>0.28984934829263997</v>
      </c>
      <c r="G8" s="24">
        <v>40.118458749796645</v>
      </c>
      <c r="H8" s="27">
        <v>9.9445183645962103E-3</v>
      </c>
      <c r="I8" s="27">
        <v>0.28271630743934517</v>
      </c>
      <c r="K8" s="24"/>
      <c r="M8" t="s">
        <v>1928</v>
      </c>
      <c r="N8" s="24">
        <v>176.0343</v>
      </c>
      <c r="O8" s="24">
        <v>328.47559343</v>
      </c>
      <c r="P8" s="12">
        <v>0.46408712391134199</v>
      </c>
      <c r="Q8" s="28">
        <v>236.63191595111198</v>
      </c>
      <c r="R8" s="12">
        <v>0.25608386640300629</v>
      </c>
      <c r="S8" s="12">
        <v>0.27960578903242145</v>
      </c>
    </row>
    <row r="9" spans="1:19" x14ac:dyDescent="0.3">
      <c r="A9" t="s">
        <v>1773</v>
      </c>
      <c r="B9" s="24">
        <v>41.549799999999998</v>
      </c>
      <c r="C9" s="28">
        <v>41.555424227173049</v>
      </c>
      <c r="D9" s="29">
        <v>1.3534279285190004E-4</v>
      </c>
      <c r="E9" s="24">
        <v>57.656505899999999</v>
      </c>
      <c r="F9" s="27">
        <v>0.2793562608170469</v>
      </c>
      <c r="G9" s="24">
        <v>41.898026514197895</v>
      </c>
      <c r="H9" s="27">
        <v>8.3112867876937897E-3</v>
      </c>
      <c r="I9" s="27">
        <v>0.273316586564121</v>
      </c>
      <c r="K9" s="24"/>
      <c r="M9" t="s">
        <v>1930</v>
      </c>
      <c r="N9" s="24">
        <v>183.5258</v>
      </c>
      <c r="O9" s="24">
        <v>289.34769091999999</v>
      </c>
      <c r="P9" s="12">
        <v>0.36572571422129663</v>
      </c>
      <c r="Q9" s="28">
        <v>231.00597352899155</v>
      </c>
      <c r="R9" s="12">
        <v>0.20553656168996307</v>
      </c>
      <c r="S9" s="12">
        <v>0.20163187480607542</v>
      </c>
    </row>
    <row r="10" spans="1:19" x14ac:dyDescent="0.3">
      <c r="A10" t="s">
        <v>1774</v>
      </c>
      <c r="B10" s="24">
        <v>19.729399999999998</v>
      </c>
      <c r="C10" s="28">
        <v>19.740402093227388</v>
      </c>
      <c r="D10" s="29">
        <v>5.5733886145938256E-4</v>
      </c>
      <c r="E10" s="24">
        <v>20.29128236</v>
      </c>
      <c r="F10" s="27">
        <v>2.7690825549184363E-2</v>
      </c>
      <c r="G10" s="24">
        <v>19.868326224054695</v>
      </c>
      <c r="H10" s="27">
        <v>6.9923466369551284E-3</v>
      </c>
      <c r="I10" s="27">
        <v>2.0844228986684199E-2</v>
      </c>
      <c r="K10" s="24"/>
      <c r="M10" t="s">
        <v>1931</v>
      </c>
      <c r="N10" s="24">
        <v>181.18029999999999</v>
      </c>
      <c r="O10" s="24">
        <v>300.82812514</v>
      </c>
      <c r="P10" s="12">
        <v>0.39772818809517252</v>
      </c>
      <c r="Q10" s="28">
        <v>215.70167840998442</v>
      </c>
      <c r="R10" s="12">
        <v>0.16004223362773104</v>
      </c>
      <c r="S10" s="12">
        <v>0.28297369699192604</v>
      </c>
    </row>
    <row r="11" spans="1:19" x14ac:dyDescent="0.3">
      <c r="A11" t="s">
        <v>1775</v>
      </c>
      <c r="B11" s="24">
        <v>22.646599999999999</v>
      </c>
      <c r="C11" s="28">
        <v>22.758820843048195</v>
      </c>
      <c r="D11" s="29">
        <v>4.9308724657619474E-3</v>
      </c>
      <c r="E11" s="24">
        <v>28.936699690000001</v>
      </c>
      <c r="F11" s="27">
        <v>0.21737446762713394</v>
      </c>
      <c r="G11" s="24">
        <v>23.117820147610626</v>
      </c>
      <c r="H11" s="27">
        <v>2.0383416109383056E-2</v>
      </c>
      <c r="I11" s="27">
        <v>0.20108995167822385</v>
      </c>
      <c r="K11" s="24"/>
      <c r="M11" t="s">
        <v>1932</v>
      </c>
      <c r="N11" s="24">
        <v>165.22489999999999</v>
      </c>
      <c r="O11" s="24">
        <v>324.9742928</v>
      </c>
      <c r="P11" s="12">
        <v>0.49157547639719029</v>
      </c>
      <c r="Q11" s="28">
        <v>238.23601578303894</v>
      </c>
      <c r="R11" s="12">
        <v>0.30646548357965331</v>
      </c>
      <c r="S11" s="12">
        <v>0.2669081183918221</v>
      </c>
    </row>
    <row r="12" spans="1:19" x14ac:dyDescent="0.3">
      <c r="A12" t="s">
        <v>1776</v>
      </c>
      <c r="B12" s="24">
        <v>33.917400000000001</v>
      </c>
      <c r="C12" s="28">
        <v>34.061136441961978</v>
      </c>
      <c r="D12" s="29">
        <v>4.2199543813488047E-3</v>
      </c>
      <c r="E12" s="24">
        <v>47.283948359999997</v>
      </c>
      <c r="F12" s="27">
        <v>0.28268680648732519</v>
      </c>
      <c r="G12" s="24">
        <v>34.23259926627064</v>
      </c>
      <c r="H12" s="27">
        <v>9.2075762000697614E-3</v>
      </c>
      <c r="I12" s="27">
        <v>0.27602071202603262</v>
      </c>
      <c r="K12" s="24"/>
      <c r="M12" t="s">
        <v>1933</v>
      </c>
      <c r="N12" s="24">
        <v>170.88409999999999</v>
      </c>
      <c r="O12" s="24">
        <v>319.5957075</v>
      </c>
      <c r="P12" s="12">
        <v>0.46531165472552544</v>
      </c>
      <c r="Q12" s="28">
        <v>233.85783856868341</v>
      </c>
      <c r="R12" s="12">
        <v>0.26928213719117311</v>
      </c>
      <c r="S12" s="12">
        <v>0.26826977621818215</v>
      </c>
    </row>
    <row r="13" spans="1:19" x14ac:dyDescent="0.3">
      <c r="A13" t="s">
        <v>1777</v>
      </c>
      <c r="B13" s="24">
        <v>62</v>
      </c>
      <c r="C13" s="24">
        <v>1014.7879161034551</v>
      </c>
      <c r="D13" s="27">
        <v>0.93890349006315987</v>
      </c>
      <c r="E13" s="24">
        <v>122.67071694000001</v>
      </c>
      <c r="F13" s="27">
        <v>0.49458190555513681</v>
      </c>
      <c r="G13" s="28">
        <v>87.71120226777964</v>
      </c>
      <c r="H13" s="29">
        <v>0.2931347604754535</v>
      </c>
      <c r="I13" s="27">
        <v>0.28498663368307825</v>
      </c>
      <c r="K13" s="24"/>
      <c r="M13" t="s">
        <v>1797</v>
      </c>
      <c r="N13" s="24">
        <v>197.2148</v>
      </c>
      <c r="O13" s="24">
        <v>335.33493076000002</v>
      </c>
      <c r="P13" s="12">
        <v>0.41188709582674798</v>
      </c>
      <c r="Q13" s="28">
        <v>258.54453833859736</v>
      </c>
      <c r="R13" s="12">
        <v>0.23721150225296261</v>
      </c>
      <c r="S13" s="12">
        <v>0.22899610323137412</v>
      </c>
    </row>
    <row r="14" spans="1:19" x14ac:dyDescent="0.3">
      <c r="A14" t="s">
        <v>1778</v>
      </c>
      <c r="B14" s="24">
        <v>58.265500000000003</v>
      </c>
      <c r="C14" s="24">
        <v>95.557259588525312</v>
      </c>
      <c r="D14" s="27">
        <v>0.39025564095397491</v>
      </c>
      <c r="E14" s="24">
        <v>114.29318171</v>
      </c>
      <c r="F14" s="27">
        <v>0.490210184647418</v>
      </c>
      <c r="G14" s="28">
        <v>75.236867826458607</v>
      </c>
      <c r="H14" s="29">
        <v>0.22557249280505362</v>
      </c>
      <c r="I14" s="27">
        <v>0.34172041848165813</v>
      </c>
      <c r="K14" s="24"/>
      <c r="M14" t="s">
        <v>1798</v>
      </c>
      <c r="N14" s="24">
        <v>210.30590000000001</v>
      </c>
      <c r="O14" s="24">
        <v>346.54478344</v>
      </c>
      <c r="P14" s="12">
        <v>0.39313500000668195</v>
      </c>
      <c r="Q14" s="28">
        <v>265.61777859962569</v>
      </c>
      <c r="R14" s="12">
        <v>0.20823861599640542</v>
      </c>
      <c r="S14" s="12">
        <v>0.23352538750416893</v>
      </c>
    </row>
    <row r="15" spans="1:19" x14ac:dyDescent="0.3">
      <c r="A15" t="s">
        <v>1779</v>
      </c>
      <c r="B15" s="24">
        <v>54.973500000000001</v>
      </c>
      <c r="C15" s="24">
        <v>600.59706196367097</v>
      </c>
      <c r="D15" s="27">
        <v>0.90846858321240787</v>
      </c>
      <c r="E15" s="24">
        <v>116.93704515</v>
      </c>
      <c r="F15" s="27">
        <v>0.5298880698628633</v>
      </c>
      <c r="G15" s="28">
        <v>78.281067711821493</v>
      </c>
      <c r="H15" s="29">
        <v>0.29774207727498503</v>
      </c>
      <c r="I15" s="27">
        <v>0.33057084167461975</v>
      </c>
      <c r="K15" s="24"/>
      <c r="M15" t="s">
        <v>1799</v>
      </c>
      <c r="N15" s="24">
        <v>200.89769999999999</v>
      </c>
      <c r="O15" s="24">
        <v>347.01160298999997</v>
      </c>
      <c r="P15" s="12">
        <v>0.42106345070602907</v>
      </c>
      <c r="Q15" s="28">
        <v>252.60528065743807</v>
      </c>
      <c r="R15" s="12">
        <v>0.20469714854282692</v>
      </c>
      <c r="S15" s="12">
        <v>0.27205523250265051</v>
      </c>
    </row>
    <row r="16" spans="1:19" x14ac:dyDescent="0.3">
      <c r="A16" t="s">
        <v>1780</v>
      </c>
      <c r="B16" s="24">
        <v>54.8902</v>
      </c>
      <c r="C16" s="28">
        <v>79.090030546070395</v>
      </c>
      <c r="D16" s="29">
        <v>0.30597826779158793</v>
      </c>
      <c r="E16" s="24">
        <v>126.72051441000001</v>
      </c>
      <c r="F16" s="27">
        <v>0.56684045787247528</v>
      </c>
      <c r="G16" s="24">
        <v>79.823886337707364</v>
      </c>
      <c r="H16" s="27">
        <v>0.31235871218073152</v>
      </c>
      <c r="I16" s="27">
        <v>0.37007921164650709</v>
      </c>
      <c r="K16" s="24"/>
      <c r="M16" t="s">
        <v>1800</v>
      </c>
      <c r="N16" s="24">
        <v>215.86070000000001</v>
      </c>
      <c r="O16" s="24">
        <v>348.67897973999999</v>
      </c>
      <c r="P16" s="12">
        <v>0.38091851662247833</v>
      </c>
      <c r="Q16" s="28">
        <v>280.69345257135177</v>
      </c>
      <c r="R16" s="12">
        <v>0.23097351212661932</v>
      </c>
      <c r="S16" s="12">
        <v>0.19498028593333355</v>
      </c>
    </row>
    <row r="17" spans="1:19" x14ac:dyDescent="0.3">
      <c r="A17" t="s">
        <v>1781</v>
      </c>
      <c r="B17" s="24">
        <v>62.474899999999998</v>
      </c>
      <c r="C17" s="28">
        <v>62.581996299609401</v>
      </c>
      <c r="D17" s="29">
        <v>1.7112956751440494E-3</v>
      </c>
      <c r="E17" s="24">
        <v>92.74421117</v>
      </c>
      <c r="F17" s="27">
        <v>0.32637412931914855</v>
      </c>
      <c r="G17" s="24">
        <v>63.492378102066596</v>
      </c>
      <c r="H17" s="27">
        <v>1.6025200700955946E-2</v>
      </c>
      <c r="I17" s="27">
        <v>0.3154033302878046</v>
      </c>
      <c r="K17" s="24"/>
      <c r="M17" t="s">
        <v>1801</v>
      </c>
      <c r="N17" s="24" t="s">
        <v>831</v>
      </c>
      <c r="O17" s="24">
        <v>396.54088689999998</v>
      </c>
      <c r="P17" s="12" t="s">
        <v>831</v>
      </c>
      <c r="Q17" s="28">
        <v>295.91031548807416</v>
      </c>
      <c r="R17" s="12" t="s">
        <v>831</v>
      </c>
      <c r="S17" s="12">
        <v>0.25377098487526939</v>
      </c>
    </row>
    <row r="18" spans="1:19" x14ac:dyDescent="0.3">
      <c r="A18" t="s">
        <v>1782</v>
      </c>
      <c r="B18" s="24">
        <v>73.251499999999993</v>
      </c>
      <c r="C18" s="24">
        <v>1779.0503180665351</v>
      </c>
      <c r="D18" s="27">
        <v>0.95882550411524647</v>
      </c>
      <c r="E18" s="24">
        <v>143.50523222999999</v>
      </c>
      <c r="F18" s="27">
        <v>0.48955519696593575</v>
      </c>
      <c r="G18" s="28">
        <v>96.057852332269405</v>
      </c>
      <c r="H18" s="29">
        <v>0.23742309221510577</v>
      </c>
      <c r="I18" s="27">
        <v>0.33063170701459371</v>
      </c>
      <c r="K18" s="24"/>
      <c r="M18" t="s">
        <v>1934</v>
      </c>
      <c r="N18" s="24">
        <v>267.83370000000002</v>
      </c>
      <c r="O18" s="24">
        <v>387.93392333999998</v>
      </c>
      <c r="P18" s="12">
        <v>0.30958938137188785</v>
      </c>
      <c r="Q18" s="28">
        <v>328.88488801142933</v>
      </c>
      <c r="R18" s="12">
        <v>0.18563087036491524</v>
      </c>
      <c r="S18" s="12">
        <v>0.15221415755594503</v>
      </c>
    </row>
    <row r="19" spans="1:19" x14ac:dyDescent="0.3">
      <c r="A19" t="s">
        <v>1783</v>
      </c>
      <c r="B19" s="24">
        <v>75.9602</v>
      </c>
      <c r="C19" s="24">
        <v>1485.9867313469467</v>
      </c>
      <c r="D19" s="27">
        <v>0.94888231610847074</v>
      </c>
      <c r="E19" s="24">
        <v>136.68911327999999</v>
      </c>
      <c r="F19" s="27">
        <v>0.44428493113127604</v>
      </c>
      <c r="G19" s="28">
        <v>103.75426744136814</v>
      </c>
      <c r="H19" s="29">
        <v>0.26788360736173727</v>
      </c>
      <c r="I19" s="27">
        <v>0.24094710286960935</v>
      </c>
      <c r="K19" s="24"/>
      <c r="M19" t="s">
        <v>1936</v>
      </c>
      <c r="N19" s="24">
        <v>287.98559999999998</v>
      </c>
      <c r="O19" s="24">
        <v>484.42109742999997</v>
      </c>
      <c r="P19" s="12">
        <v>0.40550566123595683</v>
      </c>
      <c r="Q19" s="28">
        <v>388.12634309343548</v>
      </c>
      <c r="R19" s="12">
        <v>0.25801068357096324</v>
      </c>
      <c r="S19" s="12">
        <v>0.19878315549722589</v>
      </c>
    </row>
    <row r="20" spans="1:19" x14ac:dyDescent="0.3">
      <c r="A20" t="s">
        <v>1784</v>
      </c>
      <c r="B20" s="24">
        <v>69.497699999999995</v>
      </c>
      <c r="C20" s="24">
        <v>1361.0478745513392</v>
      </c>
      <c r="D20" s="27">
        <v>0.94893809299477483</v>
      </c>
      <c r="E20" s="24">
        <v>143.75224972999999</v>
      </c>
      <c r="F20" s="27">
        <v>0.51654530533934062</v>
      </c>
      <c r="G20" s="28">
        <v>96.89826578643283</v>
      </c>
      <c r="H20" s="29">
        <v>0.28277663758012594</v>
      </c>
      <c r="I20" s="27">
        <v>0.32593565687889958</v>
      </c>
      <c r="K20" s="24"/>
      <c r="M20" t="s">
        <v>1937</v>
      </c>
      <c r="N20" s="24">
        <v>275.36169999999998</v>
      </c>
      <c r="O20" s="24">
        <v>457.25276130999998</v>
      </c>
      <c r="P20" s="12">
        <v>0.3977910615321244</v>
      </c>
      <c r="Q20" s="28">
        <v>370.57175348148411</v>
      </c>
      <c r="R20" s="12">
        <v>0.25692744411033847</v>
      </c>
      <c r="S20" s="12">
        <v>0.18956912929334821</v>
      </c>
    </row>
    <row r="21" spans="1:19" x14ac:dyDescent="0.3">
      <c r="A21" t="s">
        <v>1785</v>
      </c>
      <c r="B21" s="24">
        <v>75.502700000000004</v>
      </c>
      <c r="C21" s="24">
        <v>1390.0675692228908</v>
      </c>
      <c r="D21" s="27">
        <v>0.94568415113647364</v>
      </c>
      <c r="E21" s="24">
        <v>159.07776181</v>
      </c>
      <c r="F21" s="27">
        <v>0.5253723767488051</v>
      </c>
      <c r="G21" s="28">
        <v>99.010361511311643</v>
      </c>
      <c r="H21" s="29">
        <v>0.23742627693189422</v>
      </c>
      <c r="I21" s="27">
        <v>0.37759772085825499</v>
      </c>
      <c r="K21" s="24"/>
      <c r="M21" t="s">
        <v>1938</v>
      </c>
      <c r="N21" s="24">
        <v>259.3408</v>
      </c>
      <c r="O21" s="24">
        <v>419.09047784000001</v>
      </c>
      <c r="P21" s="12">
        <v>0.38118183611174555</v>
      </c>
      <c r="Q21" s="28">
        <v>325.84439678275163</v>
      </c>
      <c r="R21" s="12">
        <v>0.20409618038358104</v>
      </c>
      <c r="S21" s="12">
        <v>0.22249630088910724</v>
      </c>
    </row>
    <row r="22" spans="1:19" x14ac:dyDescent="0.3">
      <c r="A22" t="s">
        <v>1786</v>
      </c>
      <c r="B22" s="24">
        <v>79.171099999999996</v>
      </c>
      <c r="C22" s="24">
        <v>1279.3915889633035</v>
      </c>
      <c r="D22" s="27">
        <v>0.93811816438143636</v>
      </c>
      <c r="E22" s="24">
        <v>155.03973479999999</v>
      </c>
      <c r="F22" s="27">
        <v>0.48934961671515964</v>
      </c>
      <c r="G22" s="28">
        <v>107.9504301020327</v>
      </c>
      <c r="H22" s="29">
        <v>0.26659764185127399</v>
      </c>
      <c r="I22" s="27">
        <v>0.30372410504127939</v>
      </c>
      <c r="K22" s="24"/>
      <c r="M22" t="s">
        <v>1939</v>
      </c>
      <c r="N22" s="24">
        <v>216.4254</v>
      </c>
      <c r="O22" s="24">
        <v>404.35979653999999</v>
      </c>
      <c r="P22" s="12">
        <v>0.46477023222413555</v>
      </c>
      <c r="Q22" s="28">
        <v>283.65999110412207</v>
      </c>
      <c r="R22" s="12">
        <v>0.23702528806553658</v>
      </c>
      <c r="S22" s="12">
        <v>0.29849605838333654</v>
      </c>
    </row>
    <row r="23" spans="1:19" x14ac:dyDescent="0.3">
      <c r="A23" t="s">
        <v>1787</v>
      </c>
      <c r="B23" s="24">
        <v>94.151300000000006</v>
      </c>
      <c r="C23" s="24">
        <v>1557.924887939429</v>
      </c>
      <c r="D23" s="27">
        <v>0.93956621353900571</v>
      </c>
      <c r="E23" s="24">
        <v>168.03982887999999</v>
      </c>
      <c r="F23" s="27">
        <v>0.4397084272965131</v>
      </c>
      <c r="G23" s="28">
        <v>112.44468498811091</v>
      </c>
      <c r="H23" s="29">
        <v>0.16268785839050651</v>
      </c>
      <c r="I23" s="27">
        <v>0.3308450399077143</v>
      </c>
      <c r="K23" s="24"/>
      <c r="M23" t="s">
        <v>1802</v>
      </c>
      <c r="N23" s="24">
        <v>308.32679999999999</v>
      </c>
      <c r="O23" s="24">
        <v>512.01876425</v>
      </c>
      <c r="P23" s="12">
        <v>0.39782128795292487</v>
      </c>
      <c r="Q23" s="28">
        <v>396.1062298661318</v>
      </c>
      <c r="R23" s="12">
        <v>0.22160577958038624</v>
      </c>
      <c r="S23" s="12">
        <v>0.22638337201109365</v>
      </c>
    </row>
    <row r="24" spans="1:19" x14ac:dyDescent="0.3">
      <c r="A24" t="s">
        <v>1788</v>
      </c>
      <c r="B24" s="24">
        <v>98.319000000000003</v>
      </c>
      <c r="C24" s="24">
        <v>2042.2429125479177</v>
      </c>
      <c r="D24" s="27">
        <v>0.95185734302422598</v>
      </c>
      <c r="E24" s="24">
        <v>197.35531183000001</v>
      </c>
      <c r="F24" s="27">
        <v>0.50181731067521984</v>
      </c>
      <c r="G24" s="28">
        <v>136.135364351471</v>
      </c>
      <c r="H24" s="29">
        <v>0.27778501590400578</v>
      </c>
      <c r="I24" s="27">
        <v>0.31020167083854977</v>
      </c>
      <c r="K24" s="24"/>
      <c r="M24" t="s">
        <v>1803</v>
      </c>
      <c r="N24" s="24">
        <v>276.31970000000001</v>
      </c>
      <c r="O24" s="24">
        <v>505.60775784999998</v>
      </c>
      <c r="P24" s="12">
        <v>0.45348999157964559</v>
      </c>
      <c r="Q24" s="28">
        <v>372.2120198442268</v>
      </c>
      <c r="R24" s="12">
        <v>0.25762821921860118</v>
      </c>
      <c r="S24" s="12">
        <v>0.26383245892628898</v>
      </c>
    </row>
    <row r="25" spans="1:19" x14ac:dyDescent="0.3">
      <c r="A25" t="s">
        <v>1789</v>
      </c>
      <c r="B25" s="24">
        <v>95.824399999999997</v>
      </c>
      <c r="C25" s="24">
        <v>2014.4736320687407</v>
      </c>
      <c r="D25" s="27">
        <v>0.95243204057151432</v>
      </c>
      <c r="E25" s="24">
        <v>156.32958883000001</v>
      </c>
      <c r="F25" s="27">
        <v>0.38703606452772121</v>
      </c>
      <c r="G25" s="28">
        <v>112.49228066462901</v>
      </c>
      <c r="H25" s="29">
        <v>0.14816910605911379</v>
      </c>
      <c r="I25" s="27">
        <v>0.28041593720969682</v>
      </c>
      <c r="K25" s="24"/>
      <c r="M25" t="s">
        <v>1804</v>
      </c>
      <c r="N25" s="24">
        <v>302.69369999999998</v>
      </c>
      <c r="O25" s="24">
        <v>485.95009041999998</v>
      </c>
      <c r="P25" s="12">
        <v>0.37710948929264326</v>
      </c>
      <c r="Q25" s="28">
        <v>380.47026685783743</v>
      </c>
      <c r="R25" s="12">
        <v>0.20442219440737175</v>
      </c>
      <c r="S25" s="12">
        <v>0.21705896478174908</v>
      </c>
    </row>
    <row r="26" spans="1:19" x14ac:dyDescent="0.3">
      <c r="A26" t="s">
        <v>1790</v>
      </c>
      <c r="B26" s="24">
        <v>93.579400000000007</v>
      </c>
      <c r="C26" s="24">
        <v>1918.4566434140004</v>
      </c>
      <c r="D26" s="27">
        <v>0.95122151948481337</v>
      </c>
      <c r="E26" s="24">
        <v>180.29233119</v>
      </c>
      <c r="F26" s="27">
        <v>0.48095740189092173</v>
      </c>
      <c r="G26" s="28">
        <v>128.2387680792381</v>
      </c>
      <c r="H26" s="29">
        <v>0.27027215403240806</v>
      </c>
      <c r="I26" s="27">
        <v>0.28871756644993157</v>
      </c>
      <c r="K26" s="24"/>
      <c r="M26" t="s">
        <v>1805</v>
      </c>
      <c r="N26" s="24">
        <v>288.69060000000002</v>
      </c>
      <c r="O26" s="24">
        <v>459.95525519</v>
      </c>
      <c r="P26" s="12">
        <v>0.37235068684942702</v>
      </c>
      <c r="Q26" s="28">
        <v>355.96800589413823</v>
      </c>
      <c r="R26" s="12">
        <v>0.18899846272742254</v>
      </c>
      <c r="S26" s="12">
        <v>0.22608122882063025</v>
      </c>
    </row>
    <row r="27" spans="1:19" x14ac:dyDescent="0.3">
      <c r="A27" t="s">
        <v>1791</v>
      </c>
      <c r="B27" s="24">
        <v>112.7895</v>
      </c>
      <c r="C27" s="24">
        <v>2296.9963547158604</v>
      </c>
      <c r="D27" s="27">
        <v>0.95089696169154259</v>
      </c>
      <c r="E27" s="24">
        <v>231.07773642000001</v>
      </c>
      <c r="F27" s="27">
        <v>0.51189802294498343</v>
      </c>
      <c r="G27" s="28">
        <v>164.89065281409654</v>
      </c>
      <c r="H27" s="29">
        <v>0.31597396168257752</v>
      </c>
      <c r="I27" s="27">
        <v>0.28642778240480854</v>
      </c>
      <c r="K27" s="24"/>
      <c r="M27" t="s">
        <v>1806</v>
      </c>
      <c r="N27" s="24">
        <v>289.44619999999998</v>
      </c>
      <c r="O27" s="24">
        <v>496.29280845</v>
      </c>
      <c r="P27" s="12">
        <v>0.41678340876228753</v>
      </c>
      <c r="Q27" s="28">
        <v>353.14750299095687</v>
      </c>
      <c r="R27" s="12">
        <v>0.18038157554971612</v>
      </c>
      <c r="S27" s="12">
        <v>0.28842913502234352</v>
      </c>
    </row>
    <row r="28" spans="1:19" x14ac:dyDescent="0.3">
      <c r="I28" s="27"/>
    </row>
  </sheetData>
  <mergeCells count="9">
    <mergeCell ref="N1:N2"/>
    <mergeCell ref="O1:P1"/>
    <mergeCell ref="Q1:S1"/>
    <mergeCell ref="B1:B2"/>
    <mergeCell ref="A1:A2"/>
    <mergeCell ref="E1:F1"/>
    <mergeCell ref="C1:D1"/>
    <mergeCell ref="G1:I1"/>
    <mergeCell ref="M1:M2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6F47-4933-4EEF-B5BD-31F2DB5E2758}">
  <dimension ref="A1:M27"/>
  <sheetViews>
    <sheetView workbookViewId="0">
      <selection activeCell="I3" sqref="I3"/>
    </sheetView>
  </sheetViews>
  <sheetFormatPr defaultRowHeight="14" x14ac:dyDescent="0.3"/>
  <cols>
    <col min="10" max="10" width="15.33203125" customWidth="1"/>
  </cols>
  <sheetData>
    <row r="1" spans="1:13" x14ac:dyDescent="0.3">
      <c r="A1" s="33" t="s">
        <v>817</v>
      </c>
      <c r="B1" s="33" t="s">
        <v>1765</v>
      </c>
      <c r="C1" s="33" t="s">
        <v>1808</v>
      </c>
      <c r="D1" s="33"/>
      <c r="E1" s="33" t="s">
        <v>806</v>
      </c>
      <c r="F1" s="33"/>
      <c r="G1" s="33" t="s">
        <v>40</v>
      </c>
      <c r="H1" s="33"/>
      <c r="I1" s="33"/>
    </row>
    <row r="2" spans="1:13" x14ac:dyDescent="0.3">
      <c r="A2" s="33"/>
      <c r="B2" s="33"/>
      <c r="C2" t="s">
        <v>810</v>
      </c>
      <c r="D2" s="27" t="s">
        <v>92</v>
      </c>
      <c r="E2" t="s">
        <v>810</v>
      </c>
      <c r="F2" s="27" t="s">
        <v>92</v>
      </c>
      <c r="G2" t="s">
        <v>810</v>
      </c>
      <c r="H2" s="27" t="s">
        <v>92</v>
      </c>
      <c r="I2" t="s">
        <v>1809</v>
      </c>
    </row>
    <row r="3" spans="1:13" x14ac:dyDescent="0.3">
      <c r="A3" t="s">
        <v>1772</v>
      </c>
      <c r="B3" s="24">
        <v>131.54249999999999</v>
      </c>
      <c r="C3" s="24">
        <v>3871.6275880056887</v>
      </c>
      <c r="D3" s="27">
        <v>0.96602397906050697</v>
      </c>
      <c r="E3" s="24">
        <v>323.61072381999998</v>
      </c>
      <c r="F3" s="27">
        <v>0.59351625172604883</v>
      </c>
      <c r="G3" s="28">
        <v>225.10988662137976</v>
      </c>
      <c r="H3" s="29">
        <v>0.41565205342915057</v>
      </c>
      <c r="I3" s="27">
        <v>0.30438063373143576</v>
      </c>
      <c r="J3" s="31">
        <f t="shared" ref="J3:J27" si="0">E3-G3</f>
        <v>98.500837198620218</v>
      </c>
    </row>
    <row r="4" spans="1:13" x14ac:dyDescent="0.3">
      <c r="A4" t="s">
        <v>1773</v>
      </c>
      <c r="B4" s="24">
        <v>151.0796</v>
      </c>
      <c r="C4" s="24">
        <v>300.12227220326088</v>
      </c>
      <c r="D4" s="27">
        <v>0.49660650343977203</v>
      </c>
      <c r="E4" s="24">
        <v>338.56669997</v>
      </c>
      <c r="F4" s="27">
        <v>0.55376710109592298</v>
      </c>
      <c r="G4" s="28">
        <v>238.98936419206723</v>
      </c>
      <c r="H4" s="29">
        <v>0.36783965047673539</v>
      </c>
      <c r="I4" s="27">
        <v>0.29411438214908969</v>
      </c>
      <c r="J4" s="31">
        <f t="shared" si="0"/>
        <v>99.577335777932774</v>
      </c>
    </row>
    <row r="5" spans="1:13" x14ac:dyDescent="0.3">
      <c r="A5" t="s">
        <v>1774</v>
      </c>
      <c r="B5" s="24">
        <v>103.3734</v>
      </c>
      <c r="C5" s="24">
        <v>119.32010848375801</v>
      </c>
      <c r="D5" s="27">
        <v>0.13364644640705037</v>
      </c>
      <c r="E5" s="24">
        <v>165.01941228999999</v>
      </c>
      <c r="F5" s="27">
        <v>0.37356824530234783</v>
      </c>
      <c r="G5" s="28">
        <v>123.24506749593867</v>
      </c>
      <c r="H5" s="29">
        <v>0.16123702067503434</v>
      </c>
      <c r="I5" s="27">
        <v>0.2531480643056005</v>
      </c>
      <c r="J5" s="31">
        <f t="shared" si="0"/>
        <v>41.774344794061321</v>
      </c>
    </row>
    <row r="6" spans="1:13" x14ac:dyDescent="0.3">
      <c r="A6" t="s">
        <v>1775</v>
      </c>
      <c r="B6" s="24">
        <v>114.03449999999999</v>
      </c>
      <c r="C6" s="24">
        <v>123.83911959795853</v>
      </c>
      <c r="D6" s="27">
        <v>7.9172232730570558E-2</v>
      </c>
      <c r="E6" s="24">
        <v>147.71197531999999</v>
      </c>
      <c r="F6" s="27">
        <v>0.22799421134976938</v>
      </c>
      <c r="G6" s="28">
        <v>127.98914761587699</v>
      </c>
      <c r="H6" s="29">
        <v>0.1090299285198609</v>
      </c>
      <c r="I6" s="27">
        <v>0.13352219859896872</v>
      </c>
      <c r="J6" s="31">
        <f t="shared" si="0"/>
        <v>19.722827704123006</v>
      </c>
    </row>
    <row r="7" spans="1:13" x14ac:dyDescent="0.3">
      <c r="A7" t="s">
        <v>1776</v>
      </c>
      <c r="B7" s="24">
        <v>145.7363</v>
      </c>
      <c r="C7" s="24">
        <v>3862.8415668764387</v>
      </c>
      <c r="D7" s="27">
        <v>0.96227225541692485</v>
      </c>
      <c r="E7" s="24">
        <v>307.55923868999997</v>
      </c>
      <c r="F7" s="27">
        <v>0.52615209798040607</v>
      </c>
      <c r="G7" s="28">
        <v>216.13564150369564</v>
      </c>
      <c r="H7" s="29">
        <v>0.3257183360130444</v>
      </c>
      <c r="I7" s="27">
        <v>0.29725524609733306</v>
      </c>
      <c r="J7" s="31">
        <f t="shared" si="0"/>
        <v>91.423597186304335</v>
      </c>
    </row>
    <row r="8" spans="1:13" x14ac:dyDescent="0.3">
      <c r="A8" t="s">
        <v>1782</v>
      </c>
      <c r="B8" s="24">
        <v>376.39120000000003</v>
      </c>
      <c r="C8" s="24" t="s">
        <v>831</v>
      </c>
      <c r="D8" s="27" t="s">
        <v>831</v>
      </c>
      <c r="E8" s="24">
        <v>669.02320264000002</v>
      </c>
      <c r="F8" s="27">
        <v>0.43740187408337861</v>
      </c>
      <c r="G8" s="28">
        <v>525.2524278292135</v>
      </c>
      <c r="H8" s="29">
        <v>0.28340892862586803</v>
      </c>
      <c r="I8" s="27">
        <v>0.21489654505771943</v>
      </c>
      <c r="J8" s="31">
        <f t="shared" si="0"/>
        <v>143.77077481078652</v>
      </c>
    </row>
    <row r="9" spans="1:13" x14ac:dyDescent="0.3">
      <c r="A9" t="s">
        <v>1783</v>
      </c>
      <c r="B9" s="24">
        <v>379.10109999999997</v>
      </c>
      <c r="C9" s="24" t="s">
        <v>831</v>
      </c>
      <c r="D9" s="27" t="s">
        <v>831</v>
      </c>
      <c r="E9" s="24">
        <v>875.64707764000002</v>
      </c>
      <c r="F9" s="27">
        <v>0.56706176531561758</v>
      </c>
      <c r="G9" s="28">
        <v>630.57472931700363</v>
      </c>
      <c r="H9" s="29">
        <v>0.39880067758088417</v>
      </c>
      <c r="I9" s="27">
        <v>0.27987571086687468</v>
      </c>
      <c r="J9" s="31">
        <f t="shared" si="0"/>
        <v>245.07234832299639</v>
      </c>
    </row>
    <row r="10" spans="1:13" x14ac:dyDescent="0.3">
      <c r="A10" t="s">
        <v>1784</v>
      </c>
      <c r="B10" s="24">
        <v>358.22</v>
      </c>
      <c r="C10" s="24" t="s">
        <v>831</v>
      </c>
      <c r="D10" s="27" t="s">
        <v>831</v>
      </c>
      <c r="E10" s="24">
        <v>615.18325637999999</v>
      </c>
      <c r="F10" s="27">
        <v>0.41770196720255537</v>
      </c>
      <c r="G10" s="28">
        <v>469.27501128934068</v>
      </c>
      <c r="H10" s="29">
        <v>0.23665230114046604</v>
      </c>
      <c r="I10" s="27">
        <v>0.23717850506732824</v>
      </c>
      <c r="J10" s="31">
        <f t="shared" si="0"/>
        <v>145.90824509065931</v>
      </c>
    </row>
    <row r="11" spans="1:13" x14ac:dyDescent="0.3">
      <c r="A11" t="s">
        <v>1785</v>
      </c>
      <c r="B11" s="24">
        <v>390.29390000000001</v>
      </c>
      <c r="C11" s="24" t="s">
        <v>831</v>
      </c>
      <c r="D11" s="27" t="s">
        <v>831</v>
      </c>
      <c r="E11" s="24">
        <v>872.76363796999999</v>
      </c>
      <c r="F11" s="27">
        <v>0.55280687345338764</v>
      </c>
      <c r="G11" s="28">
        <v>677.61251058916673</v>
      </c>
      <c r="H11" s="29">
        <v>0.42401609489079611</v>
      </c>
      <c r="I11" s="27">
        <v>0.22360134965606954</v>
      </c>
      <c r="J11" s="31">
        <f t="shared" si="0"/>
        <v>195.15112738083326</v>
      </c>
    </row>
    <row r="12" spans="1:13" x14ac:dyDescent="0.3">
      <c r="A12" t="s">
        <v>1786</v>
      </c>
      <c r="B12" s="24">
        <v>361.71280000000002</v>
      </c>
      <c r="C12" s="24" t="s">
        <v>831</v>
      </c>
      <c r="D12" s="27" t="s">
        <v>831</v>
      </c>
      <c r="E12" s="24">
        <v>673.31434578000005</v>
      </c>
      <c r="F12" s="27">
        <v>0.46278762324457184</v>
      </c>
      <c r="G12" s="28">
        <v>533.85078008975802</v>
      </c>
      <c r="H12" s="29">
        <v>0.32244587159883126</v>
      </c>
      <c r="I12" s="27">
        <v>0.20712994838789697</v>
      </c>
      <c r="J12" s="31">
        <f t="shared" si="0"/>
        <v>139.46356569024204</v>
      </c>
      <c r="K12" s="31">
        <f>MIN(J3:J12)</f>
        <v>19.722827704123006</v>
      </c>
      <c r="L12" s="31">
        <f>MAX(J3:J12)</f>
        <v>245.07234832299639</v>
      </c>
      <c r="M12" s="31">
        <f>AVERAGE(J3:J12)</f>
        <v>122.03650039565591</v>
      </c>
    </row>
    <row r="13" spans="1:13" x14ac:dyDescent="0.3">
      <c r="A13" t="s">
        <v>1792</v>
      </c>
      <c r="B13" s="24" t="s">
        <v>831</v>
      </c>
      <c r="C13" s="24" t="s">
        <v>831</v>
      </c>
      <c r="D13" s="27" t="s">
        <v>831</v>
      </c>
      <c r="E13" s="28">
        <v>1208.5581307499999</v>
      </c>
      <c r="F13" s="27" t="s">
        <v>831</v>
      </c>
      <c r="G13" s="28">
        <v>1208.5581307509215</v>
      </c>
      <c r="H13" s="27" t="s">
        <v>831</v>
      </c>
      <c r="I13" s="27">
        <v>-7.6251649227624017E-13</v>
      </c>
      <c r="J13" s="31">
        <f>E13-G13</f>
        <v>-9.2154550657141954E-10</v>
      </c>
    </row>
    <row r="14" spans="1:13" x14ac:dyDescent="0.3">
      <c r="A14" t="s">
        <v>1793</v>
      </c>
      <c r="B14" s="24" t="s">
        <v>831</v>
      </c>
      <c r="C14" s="24" t="s">
        <v>831</v>
      </c>
      <c r="D14" s="27" t="s">
        <v>831</v>
      </c>
      <c r="E14" s="24">
        <v>1375.20956692</v>
      </c>
      <c r="F14" s="27" t="s">
        <v>831</v>
      </c>
      <c r="G14" s="28">
        <v>1186.7271707572488</v>
      </c>
      <c r="H14" s="27" t="s">
        <v>831</v>
      </c>
      <c r="I14" s="27">
        <v>0.13705721709374627</v>
      </c>
      <c r="J14" s="31">
        <f t="shared" si="0"/>
        <v>188.48239616275123</v>
      </c>
    </row>
    <row r="15" spans="1:13" x14ac:dyDescent="0.3">
      <c r="A15" t="s">
        <v>1794</v>
      </c>
      <c r="B15" s="24" t="s">
        <v>831</v>
      </c>
      <c r="C15" s="24" t="s">
        <v>831</v>
      </c>
      <c r="D15" s="27" t="s">
        <v>831</v>
      </c>
      <c r="E15" s="24">
        <v>1203.52692695</v>
      </c>
      <c r="F15" s="27" t="s">
        <v>831</v>
      </c>
      <c r="G15" s="28">
        <v>1031.6821416486048</v>
      </c>
      <c r="H15" s="27" t="s">
        <v>831</v>
      </c>
      <c r="I15" s="27">
        <v>0.14278432950136594</v>
      </c>
      <c r="J15" s="31">
        <f t="shared" si="0"/>
        <v>171.84478530139518</v>
      </c>
    </row>
    <row r="16" spans="1:13" x14ac:dyDescent="0.3">
      <c r="A16" t="s">
        <v>1795</v>
      </c>
      <c r="B16" s="24" t="s">
        <v>831</v>
      </c>
      <c r="C16" s="24" t="s">
        <v>831</v>
      </c>
      <c r="D16" s="27" t="s">
        <v>831</v>
      </c>
      <c r="E16" s="24">
        <v>1255.0435796500001</v>
      </c>
      <c r="F16" s="27" t="s">
        <v>831</v>
      </c>
      <c r="G16" s="28">
        <v>1103.9327734666153</v>
      </c>
      <c r="H16" s="27" t="s">
        <v>831</v>
      </c>
      <c r="I16" s="27">
        <v>0.12040283591230012</v>
      </c>
      <c r="J16" s="31">
        <f t="shared" si="0"/>
        <v>151.11080618338474</v>
      </c>
    </row>
    <row r="17" spans="1:13" x14ac:dyDescent="0.3">
      <c r="A17" t="s">
        <v>1796</v>
      </c>
      <c r="B17" s="24" t="s">
        <v>831</v>
      </c>
      <c r="C17" s="24" t="s">
        <v>831</v>
      </c>
      <c r="D17" s="27" t="s">
        <v>831</v>
      </c>
      <c r="E17" s="24">
        <v>1298.8821658300001</v>
      </c>
      <c r="F17" s="27" t="s">
        <v>831</v>
      </c>
      <c r="G17" s="28">
        <v>1192.9265569658357</v>
      </c>
      <c r="H17" s="27" t="s">
        <v>831</v>
      </c>
      <c r="I17" s="27">
        <v>8.1574458139131917E-2</v>
      </c>
      <c r="J17" s="31">
        <f t="shared" si="0"/>
        <v>105.95560886416433</v>
      </c>
    </row>
    <row r="18" spans="1:13" x14ac:dyDescent="0.3">
      <c r="A18" t="s">
        <v>1797</v>
      </c>
      <c r="B18" s="24" t="s">
        <v>831</v>
      </c>
      <c r="C18" s="24" t="s">
        <v>831</v>
      </c>
      <c r="D18" s="27" t="s">
        <v>831</v>
      </c>
      <c r="E18" s="24">
        <v>1877.11863879</v>
      </c>
      <c r="F18" s="27" t="s">
        <v>831</v>
      </c>
      <c r="G18" s="28">
        <v>1811.8662396472282</v>
      </c>
      <c r="H18" s="27" t="s">
        <v>831</v>
      </c>
      <c r="I18" s="27">
        <v>3.4762000544000665E-2</v>
      </c>
      <c r="J18" s="31">
        <f t="shared" si="0"/>
        <v>65.252399142771765</v>
      </c>
    </row>
    <row r="19" spans="1:13" x14ac:dyDescent="0.3">
      <c r="A19" t="s">
        <v>1798</v>
      </c>
      <c r="B19" s="24" t="s">
        <v>831</v>
      </c>
      <c r="C19" s="24" t="s">
        <v>831</v>
      </c>
      <c r="D19" s="27" t="s">
        <v>831</v>
      </c>
      <c r="E19" s="24">
        <v>1767.60533108</v>
      </c>
      <c r="F19" s="27" t="s">
        <v>831</v>
      </c>
      <c r="G19" s="28">
        <v>1699.0113713965643</v>
      </c>
      <c r="H19" s="27" t="s">
        <v>831</v>
      </c>
      <c r="I19" s="27">
        <v>3.8806151168103285E-2</v>
      </c>
      <c r="J19" s="31">
        <f t="shared" si="0"/>
        <v>68.593959683435742</v>
      </c>
    </row>
    <row r="20" spans="1:13" x14ac:dyDescent="0.3">
      <c r="A20" t="s">
        <v>1799</v>
      </c>
      <c r="B20" s="24" t="s">
        <v>831</v>
      </c>
      <c r="C20" s="24" t="s">
        <v>831</v>
      </c>
      <c r="D20" s="27" t="s">
        <v>831</v>
      </c>
      <c r="E20" s="24">
        <v>1769.4187633500001</v>
      </c>
      <c r="F20" s="27" t="s">
        <v>831</v>
      </c>
      <c r="G20" s="28">
        <v>1697.601469307665</v>
      </c>
      <c r="H20" s="27" t="s">
        <v>831</v>
      </c>
      <c r="I20" s="27">
        <v>4.0588070800359928E-2</v>
      </c>
      <c r="J20" s="31">
        <f t="shared" si="0"/>
        <v>71.817294042335106</v>
      </c>
    </row>
    <row r="21" spans="1:13" x14ac:dyDescent="0.3">
      <c r="A21" t="s">
        <v>1800</v>
      </c>
      <c r="B21" s="24" t="s">
        <v>831</v>
      </c>
      <c r="C21" s="24" t="s">
        <v>831</v>
      </c>
      <c r="D21" s="27" t="s">
        <v>831</v>
      </c>
      <c r="E21" s="24">
        <v>1810.7983752</v>
      </c>
      <c r="F21" s="27" t="s">
        <v>831</v>
      </c>
      <c r="G21" s="28">
        <v>1617.1771751392848</v>
      </c>
      <c r="H21" s="27" t="s">
        <v>831</v>
      </c>
      <c r="I21" s="27">
        <v>0.10692587463766086</v>
      </c>
      <c r="J21" s="31">
        <f t="shared" si="0"/>
        <v>193.62120006071518</v>
      </c>
    </row>
    <row r="22" spans="1:13" x14ac:dyDescent="0.3">
      <c r="A22" t="s">
        <v>1801</v>
      </c>
      <c r="B22" s="24" t="s">
        <v>831</v>
      </c>
      <c r="C22" s="24" t="s">
        <v>831</v>
      </c>
      <c r="D22" s="27" t="s">
        <v>831</v>
      </c>
      <c r="E22" s="24">
        <v>1916.54900888</v>
      </c>
      <c r="F22" s="27" t="s">
        <v>831</v>
      </c>
      <c r="G22" s="28">
        <v>1837.4136781124437</v>
      </c>
      <c r="H22" s="27" t="s">
        <v>831</v>
      </c>
      <c r="I22" s="27">
        <v>4.1290533349732442E-2</v>
      </c>
      <c r="J22" s="31">
        <f t="shared" si="0"/>
        <v>79.135330767556297</v>
      </c>
    </row>
    <row r="23" spans="1:13" x14ac:dyDescent="0.3">
      <c r="A23" t="s">
        <v>1802</v>
      </c>
      <c r="B23" s="24" t="s">
        <v>831</v>
      </c>
      <c r="C23" s="24" t="s">
        <v>831</v>
      </c>
      <c r="D23" s="27" t="s">
        <v>831</v>
      </c>
      <c r="E23" s="24">
        <v>2628.27781671</v>
      </c>
      <c r="F23" s="27" t="s">
        <v>831</v>
      </c>
      <c r="G23" s="28">
        <v>2530.4166491521605</v>
      </c>
      <c r="H23" s="27" t="s">
        <v>831</v>
      </c>
      <c r="I23" s="27">
        <v>3.7233951044162904E-2</v>
      </c>
      <c r="J23" s="31">
        <f t="shared" si="0"/>
        <v>97.861167557839508</v>
      </c>
    </row>
    <row r="24" spans="1:13" x14ac:dyDescent="0.3">
      <c r="A24" t="s">
        <v>1803</v>
      </c>
      <c r="B24" s="24" t="s">
        <v>831</v>
      </c>
      <c r="C24" s="24" t="s">
        <v>831</v>
      </c>
      <c r="D24" s="27" t="s">
        <v>831</v>
      </c>
      <c r="E24" s="24">
        <v>2489.2333634299998</v>
      </c>
      <c r="F24" s="27" t="s">
        <v>831</v>
      </c>
      <c r="G24" s="28">
        <v>2444.015455984334</v>
      </c>
      <c r="H24" s="27" t="s">
        <v>831</v>
      </c>
      <c r="I24" s="27">
        <v>1.8165395060975115E-2</v>
      </c>
      <c r="J24" s="31">
        <f t="shared" si="0"/>
        <v>45.217907445665787</v>
      </c>
    </row>
    <row r="25" spans="1:13" x14ac:dyDescent="0.3">
      <c r="A25" t="s">
        <v>1804</v>
      </c>
      <c r="B25" s="24" t="s">
        <v>831</v>
      </c>
      <c r="C25" s="24" t="s">
        <v>831</v>
      </c>
      <c r="D25" s="27" t="s">
        <v>831</v>
      </c>
      <c r="E25" s="24">
        <v>2431.4721356700002</v>
      </c>
      <c r="F25" s="27" t="s">
        <v>831</v>
      </c>
      <c r="G25" s="28">
        <v>2322.5820588080342</v>
      </c>
      <c r="H25" s="27" t="s">
        <v>831</v>
      </c>
      <c r="I25" s="27">
        <v>4.4783600545749619E-2</v>
      </c>
      <c r="J25" s="31">
        <f t="shared" si="0"/>
        <v>108.89007686196601</v>
      </c>
    </row>
    <row r="26" spans="1:13" x14ac:dyDescent="0.3">
      <c r="A26" t="s">
        <v>1805</v>
      </c>
      <c r="B26" s="24" t="s">
        <v>831</v>
      </c>
      <c r="C26" s="24" t="s">
        <v>831</v>
      </c>
      <c r="D26" s="27" t="s">
        <v>831</v>
      </c>
      <c r="E26" s="24">
        <v>2621.9457205600002</v>
      </c>
      <c r="F26" s="27" t="s">
        <v>831</v>
      </c>
      <c r="G26" s="28">
        <v>2497.0165783656589</v>
      </c>
      <c r="H26" s="27" t="s">
        <v>831</v>
      </c>
      <c r="I26" s="27">
        <v>4.7647493697031466E-2</v>
      </c>
      <c r="J26" s="31">
        <f t="shared" si="0"/>
        <v>124.92914219434124</v>
      </c>
    </row>
    <row r="27" spans="1:13" x14ac:dyDescent="0.3">
      <c r="A27" t="s">
        <v>1806</v>
      </c>
      <c r="B27" s="24" t="s">
        <v>831</v>
      </c>
      <c r="C27" s="24" t="s">
        <v>831</v>
      </c>
      <c r="D27" s="27" t="s">
        <v>831</v>
      </c>
      <c r="E27" s="24">
        <v>2537.2195221400002</v>
      </c>
      <c r="F27" s="27" t="s">
        <v>831</v>
      </c>
      <c r="G27" s="28">
        <v>2337.4109040825592</v>
      </c>
      <c r="H27" s="27" t="s">
        <v>831</v>
      </c>
      <c r="I27" s="27">
        <v>7.8751017132689324E-2</v>
      </c>
      <c r="J27" s="31">
        <f t="shared" si="0"/>
        <v>199.80861805744098</v>
      </c>
      <c r="K27" s="31">
        <f>MIN(J14:J27)</f>
        <v>45.217907445665787</v>
      </c>
      <c r="L27" s="31">
        <f>MAX(J13:J27)</f>
        <v>199.80861805744098</v>
      </c>
      <c r="M27" s="31">
        <f>AVERAGE(J13:J27)</f>
        <v>111.50137948832277</v>
      </c>
    </row>
  </sheetData>
  <mergeCells count="5">
    <mergeCell ref="B1:B2"/>
    <mergeCell ref="A1:A2"/>
    <mergeCell ref="C1:D1"/>
    <mergeCell ref="E1:F1"/>
    <mergeCell ref="G1:I1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AD39-3D49-413F-A5A0-335AE80AB040}">
  <dimension ref="A1:R42"/>
  <sheetViews>
    <sheetView workbookViewId="0">
      <selection activeCell="M1" sqref="M1:R2"/>
    </sheetView>
  </sheetViews>
  <sheetFormatPr defaultRowHeight="14" x14ac:dyDescent="0.3"/>
  <cols>
    <col min="1" max="1" width="9" bestFit="1" customWidth="1"/>
    <col min="2" max="2" width="6.58203125" bestFit="1" customWidth="1"/>
    <col min="3" max="3" width="10.6640625" bestFit="1" customWidth="1"/>
    <col min="4" max="6" width="6.58203125" bestFit="1" customWidth="1"/>
    <col min="7" max="7" width="7.58203125" bestFit="1" customWidth="1"/>
    <col min="8" max="8" width="6.5" bestFit="1" customWidth="1"/>
    <col min="13" max="13" width="14.1640625" customWidth="1"/>
  </cols>
  <sheetData>
    <row r="1" spans="1:18" x14ac:dyDescent="0.3">
      <c r="A1" s="33" t="s">
        <v>826</v>
      </c>
      <c r="B1" s="33" t="s">
        <v>1762</v>
      </c>
      <c r="C1" s="33" t="s">
        <v>810</v>
      </c>
      <c r="D1" s="33"/>
      <c r="E1" s="33"/>
      <c r="F1" s="33"/>
      <c r="G1" s="33" t="s">
        <v>1812</v>
      </c>
      <c r="H1" s="33"/>
      <c r="K1" s="33" t="s">
        <v>826</v>
      </c>
      <c r="L1" s="33" t="s">
        <v>1762</v>
      </c>
      <c r="M1" s="33" t="s">
        <v>810</v>
      </c>
      <c r="N1" s="33"/>
      <c r="O1" s="33"/>
      <c r="P1" s="33"/>
      <c r="Q1" s="33" t="s">
        <v>1812</v>
      </c>
      <c r="R1" s="33"/>
    </row>
    <row r="2" spans="1:18" x14ac:dyDescent="0.3">
      <c r="A2" s="33"/>
      <c r="B2" s="33"/>
      <c r="C2" s="30" t="s">
        <v>1815</v>
      </c>
      <c r="D2" t="s">
        <v>1810</v>
      </c>
      <c r="E2" t="s">
        <v>1811</v>
      </c>
      <c r="F2" t="s">
        <v>815</v>
      </c>
      <c r="G2" t="s">
        <v>1813</v>
      </c>
      <c r="H2" t="s">
        <v>1814</v>
      </c>
      <c r="K2" s="33"/>
      <c r="L2" s="33"/>
      <c r="M2" s="32" t="s">
        <v>1815</v>
      </c>
      <c r="N2" t="s">
        <v>1810</v>
      </c>
      <c r="O2" t="s">
        <v>1811</v>
      </c>
      <c r="P2" t="s">
        <v>815</v>
      </c>
      <c r="Q2" t="s">
        <v>1813</v>
      </c>
      <c r="R2" t="s">
        <v>1814</v>
      </c>
    </row>
    <row r="3" spans="1:18" x14ac:dyDescent="0.3">
      <c r="A3" t="s">
        <v>1767</v>
      </c>
      <c r="B3" s="24">
        <v>19.113199999999999</v>
      </c>
      <c r="C3" s="28">
        <v>19.113158371209611</v>
      </c>
      <c r="D3" s="28">
        <v>19.1131583712096</v>
      </c>
      <c r="E3" s="28">
        <v>19.113158371209611</v>
      </c>
      <c r="F3" s="24">
        <v>19.120358371209612</v>
      </c>
      <c r="G3" s="27">
        <v>-3.7670383199704102E-4</v>
      </c>
      <c r="H3" s="27">
        <v>-3.7670383199704102E-4</v>
      </c>
      <c r="K3" t="s">
        <v>1792</v>
      </c>
      <c r="L3" s="24">
        <v>147.82400000000001</v>
      </c>
      <c r="M3" s="23">
        <v>262.99802846</v>
      </c>
      <c r="N3" s="23">
        <v>254.51050153963263</v>
      </c>
      <c r="O3" s="23">
        <v>208.41107395894616</v>
      </c>
      <c r="P3" s="28">
        <v>183.37280830517034</v>
      </c>
      <c r="Q3" s="27">
        <v>0.2795078898675018</v>
      </c>
      <c r="R3" s="27">
        <v>0.12013884472716639</v>
      </c>
    </row>
    <row r="4" spans="1:18" x14ac:dyDescent="0.3">
      <c r="A4" t="s">
        <v>1768</v>
      </c>
      <c r="B4" s="24">
        <v>22.1524</v>
      </c>
      <c r="C4" s="28">
        <v>22.152430125032964</v>
      </c>
      <c r="D4" s="28">
        <v>22.152430125032968</v>
      </c>
      <c r="E4" s="28">
        <v>22.152430125032968</v>
      </c>
      <c r="F4" s="28">
        <v>22.152430125032968</v>
      </c>
      <c r="G4" s="27">
        <v>0</v>
      </c>
      <c r="H4" s="27">
        <v>0</v>
      </c>
      <c r="K4" t="s">
        <v>1793</v>
      </c>
      <c r="L4" s="24">
        <v>136.91929999999999</v>
      </c>
      <c r="M4" s="23">
        <v>294.01645559000002</v>
      </c>
      <c r="N4" s="23">
        <v>285.9167621223346</v>
      </c>
      <c r="O4" s="23">
        <v>224.40392164510226</v>
      </c>
      <c r="P4" s="28">
        <v>196.21432586195203</v>
      </c>
      <c r="Q4" s="27">
        <v>0.31373619229082406</v>
      </c>
      <c r="R4" s="27">
        <v>0.12561988924477194</v>
      </c>
    </row>
    <row r="5" spans="1:18" x14ac:dyDescent="0.3">
      <c r="A5" t="s">
        <v>1769</v>
      </c>
      <c r="B5" s="24">
        <v>2.3319999999999999</v>
      </c>
      <c r="C5" s="28">
        <v>2.3320333963418576</v>
      </c>
      <c r="D5" s="28">
        <v>2.3320333963418576</v>
      </c>
      <c r="E5" s="28">
        <v>2.3320333963418576</v>
      </c>
      <c r="F5" s="28">
        <v>2.3320333963418576</v>
      </c>
      <c r="G5" s="27">
        <v>0</v>
      </c>
      <c r="H5" s="27">
        <v>0</v>
      </c>
      <c r="K5" t="s">
        <v>1794</v>
      </c>
      <c r="L5" s="24">
        <v>158.2567</v>
      </c>
      <c r="M5" s="23">
        <v>326.96103498000002</v>
      </c>
      <c r="N5" s="23">
        <v>319.5934581953336</v>
      </c>
      <c r="O5" s="23">
        <v>240.12338346778881</v>
      </c>
      <c r="P5" s="28">
        <v>223.84969477670546</v>
      </c>
      <c r="Q5" s="27">
        <v>0.29957985986093033</v>
      </c>
      <c r="R5" s="27">
        <v>6.7772194677851408E-2</v>
      </c>
    </row>
    <row r="6" spans="1:18" x14ac:dyDescent="0.3">
      <c r="A6" t="s">
        <v>1770</v>
      </c>
      <c r="B6" s="24">
        <v>3.9407000000000001</v>
      </c>
      <c r="C6" s="28">
        <v>3.968250290840007</v>
      </c>
      <c r="D6" s="28">
        <v>3.9682502908400066</v>
      </c>
      <c r="E6" s="28">
        <v>3.968250290840007</v>
      </c>
      <c r="F6" s="28">
        <v>3.9682502908400066</v>
      </c>
      <c r="G6" s="27">
        <v>0</v>
      </c>
      <c r="H6" s="27">
        <v>1.1191058459068541E-16</v>
      </c>
      <c r="K6" t="s">
        <v>1795</v>
      </c>
      <c r="L6" s="24">
        <v>126.3252</v>
      </c>
      <c r="M6" s="23">
        <v>220.33714198000001</v>
      </c>
      <c r="N6" s="23">
        <v>212.9445392611463</v>
      </c>
      <c r="O6" s="23">
        <v>173.48320515526152</v>
      </c>
      <c r="P6" s="28">
        <v>169.21303561650905</v>
      </c>
      <c r="Q6" s="27">
        <v>0.20536569660988943</v>
      </c>
      <c r="R6" s="27">
        <v>2.4614310848884848E-2</v>
      </c>
    </row>
    <row r="7" spans="1:18" x14ac:dyDescent="0.3">
      <c r="A7" t="s">
        <v>1771</v>
      </c>
      <c r="B7" s="24">
        <v>3.7930000000000001</v>
      </c>
      <c r="C7" s="28">
        <v>3.7929994136695395</v>
      </c>
      <c r="D7" s="28">
        <v>3.7929994136695404</v>
      </c>
      <c r="E7" s="28">
        <v>3.79299941366954</v>
      </c>
      <c r="F7" s="24">
        <v>3.7953994136695393</v>
      </c>
      <c r="G7" s="27">
        <v>-6.3274462720703812E-4</v>
      </c>
      <c r="H7" s="27">
        <v>-6.3274462720715532E-4</v>
      </c>
      <c r="K7" t="s">
        <v>1796</v>
      </c>
      <c r="L7" s="24">
        <v>152.2621</v>
      </c>
      <c r="M7" s="23">
        <v>225.72616502</v>
      </c>
      <c r="N7" s="23">
        <v>219.92113333375823</v>
      </c>
      <c r="O7" s="23">
        <v>192.09103257221071</v>
      </c>
      <c r="P7" s="28">
        <v>173.0849769117732</v>
      </c>
      <c r="Q7" s="27">
        <v>0.21296796588850433</v>
      </c>
      <c r="R7" s="27">
        <v>9.8942961604898294E-2</v>
      </c>
    </row>
    <row r="8" spans="1:18" x14ac:dyDescent="0.3">
      <c r="A8" t="s">
        <v>1772</v>
      </c>
      <c r="B8" s="24">
        <v>39.719499999999996</v>
      </c>
      <c r="C8" s="28">
        <v>39.75575014615066</v>
      </c>
      <c r="D8" s="28">
        <v>39.761758749796655</v>
      </c>
      <c r="E8" s="24">
        <v>39.833758749796658</v>
      </c>
      <c r="F8" s="24">
        <v>40.118458749796645</v>
      </c>
      <c r="G8" s="27">
        <v>-8.9709311462942663E-3</v>
      </c>
      <c r="H8" s="27">
        <v>-7.1472040032235212E-3</v>
      </c>
      <c r="K8" t="s">
        <v>1928</v>
      </c>
      <c r="L8" s="24">
        <v>176.0343</v>
      </c>
      <c r="M8" s="23">
        <v>328.47559343</v>
      </c>
      <c r="N8" s="23">
        <v>318.70549796758218</v>
      </c>
      <c r="O8" s="28">
        <v>234.79065086874689</v>
      </c>
      <c r="P8" s="23">
        <v>236.63191595111198</v>
      </c>
      <c r="Q8" s="27">
        <v>0.25752170119392948</v>
      </c>
      <c r="R8" s="27">
        <v>-7.8421567279286213E-3</v>
      </c>
    </row>
    <row r="9" spans="1:18" x14ac:dyDescent="0.3">
      <c r="A9" t="s">
        <v>1773</v>
      </c>
      <c r="B9" s="24">
        <v>41.549799999999998</v>
      </c>
      <c r="C9" s="28">
        <v>41.555424227173049</v>
      </c>
      <c r="D9" s="28">
        <v>41.555424227173049</v>
      </c>
      <c r="E9" s="24">
        <v>41.767224227173052</v>
      </c>
      <c r="F9" s="24">
        <v>41.898026514197895</v>
      </c>
      <c r="G9" s="27">
        <v>-8.2444661171529737E-3</v>
      </c>
      <c r="H9" s="27">
        <v>-3.1316969093613941E-3</v>
      </c>
      <c r="K9" t="s">
        <v>1930</v>
      </c>
      <c r="L9" s="24">
        <v>183.5258</v>
      </c>
      <c r="M9" s="23">
        <v>289.34769091999999</v>
      </c>
      <c r="N9" s="23">
        <v>279.65524240683482</v>
      </c>
      <c r="O9" s="23">
        <v>244.25921840916709</v>
      </c>
      <c r="P9" s="28">
        <v>231.00597352899155</v>
      </c>
      <c r="Q9" s="27">
        <v>0.17396158376702139</v>
      </c>
      <c r="R9" s="27">
        <v>5.4258934285029002E-2</v>
      </c>
    </row>
    <row r="10" spans="1:18" x14ac:dyDescent="0.3">
      <c r="A10" t="s">
        <v>1774</v>
      </c>
      <c r="B10" s="24">
        <v>19.729399999999998</v>
      </c>
      <c r="C10" s="28">
        <v>19.740402093227388</v>
      </c>
      <c r="D10" s="28">
        <v>19.740402093227388</v>
      </c>
      <c r="E10" s="24">
        <v>19.858726224054692</v>
      </c>
      <c r="F10" s="24">
        <v>19.868326224054695</v>
      </c>
      <c r="G10" s="27">
        <v>-6.4803204222063527E-3</v>
      </c>
      <c r="H10" s="27">
        <v>-4.8341469093692946E-4</v>
      </c>
      <c r="K10" t="s">
        <v>1931</v>
      </c>
      <c r="L10" s="24">
        <v>181.18029999999999</v>
      </c>
      <c r="M10" s="23">
        <v>300.82812514</v>
      </c>
      <c r="N10" s="23">
        <v>285.74842402040076</v>
      </c>
      <c r="O10" s="23">
        <v>251.42483025348082</v>
      </c>
      <c r="P10" s="28">
        <v>215.70167840998442</v>
      </c>
      <c r="Q10" s="27">
        <v>0.24513431998986426</v>
      </c>
      <c r="R10" s="27">
        <v>0.14208283170552855</v>
      </c>
    </row>
    <row r="11" spans="1:18" x14ac:dyDescent="0.3">
      <c r="A11" t="s">
        <v>1775</v>
      </c>
      <c r="B11" s="24">
        <v>22.646599999999999</v>
      </c>
      <c r="C11" s="28">
        <v>22.758820843048195</v>
      </c>
      <c r="D11" s="28">
        <v>22.758820843048206</v>
      </c>
      <c r="E11" s="24">
        <v>23.115855568532133</v>
      </c>
      <c r="F11" s="24">
        <v>23.117820147610626</v>
      </c>
      <c r="G11" s="27">
        <v>-1.5774073140176707E-2</v>
      </c>
      <c r="H11" s="27">
        <v>-8.4988378330551288E-5</v>
      </c>
      <c r="K11" t="s">
        <v>1932</v>
      </c>
      <c r="L11" s="24">
        <v>165.22489999999999</v>
      </c>
      <c r="M11" s="23">
        <v>324.9742928</v>
      </c>
      <c r="N11" s="23">
        <v>318.2916898814089</v>
      </c>
      <c r="O11" s="23">
        <v>267.88404015401363</v>
      </c>
      <c r="P11" s="28">
        <v>238.23601578303894</v>
      </c>
      <c r="Q11" s="27">
        <v>0.25151669567055807</v>
      </c>
      <c r="R11" s="27">
        <v>0.11067484406286116</v>
      </c>
    </row>
    <row r="12" spans="1:18" x14ac:dyDescent="0.3">
      <c r="A12" t="s">
        <v>1776</v>
      </c>
      <c r="B12" s="24">
        <v>33.917400000000001</v>
      </c>
      <c r="C12" s="28">
        <v>34.061136441961978</v>
      </c>
      <c r="D12" s="28">
        <v>34.061136441961978</v>
      </c>
      <c r="E12" s="24">
        <v>34.167917464225027</v>
      </c>
      <c r="F12" s="24">
        <v>34.23259926627064</v>
      </c>
      <c r="G12" s="27">
        <v>-5.0339725041418986E-3</v>
      </c>
      <c r="H12" s="27">
        <v>-1.8930566111714712E-3</v>
      </c>
      <c r="K12" t="s">
        <v>1933</v>
      </c>
      <c r="L12" s="24">
        <v>170.88409999999999</v>
      </c>
      <c r="M12" s="23">
        <v>319.5957075</v>
      </c>
      <c r="N12" s="23">
        <v>312.57751287446854</v>
      </c>
      <c r="O12" s="23">
        <v>251.61806220526543</v>
      </c>
      <c r="P12" s="28">
        <v>233.85783856868341</v>
      </c>
      <c r="Q12" s="27">
        <v>0.25184049096135408</v>
      </c>
      <c r="R12" s="27">
        <v>7.0584056966838726E-2</v>
      </c>
    </row>
    <row r="13" spans="1:18" x14ac:dyDescent="0.3">
      <c r="A13" t="s">
        <v>1777</v>
      </c>
      <c r="B13" s="24">
        <v>62</v>
      </c>
      <c r="C13" s="24">
        <v>122.67071694000001</v>
      </c>
      <c r="D13" s="24">
        <v>119.85564640508085</v>
      </c>
      <c r="E13" s="24">
        <v>87.977597793632953</v>
      </c>
      <c r="F13" s="28">
        <v>87.71120226777964</v>
      </c>
      <c r="G13" s="27">
        <v>0.26819298966242577</v>
      </c>
      <c r="H13" s="27">
        <v>3.0279927223995145E-3</v>
      </c>
      <c r="K13" t="s">
        <v>1797</v>
      </c>
      <c r="L13" s="24">
        <v>197.2148</v>
      </c>
      <c r="M13" s="23">
        <v>335.33493076000002</v>
      </c>
      <c r="N13" s="23">
        <v>324.79169230152337</v>
      </c>
      <c r="O13" s="23">
        <v>288.24939645475501</v>
      </c>
      <c r="P13" s="28">
        <v>258.54453833859736</v>
      </c>
      <c r="Q13" s="27">
        <v>0.20396812952169002</v>
      </c>
      <c r="R13" s="27">
        <v>0.10305262901329358</v>
      </c>
    </row>
    <row r="14" spans="1:18" x14ac:dyDescent="0.3">
      <c r="A14" t="s">
        <v>1778</v>
      </c>
      <c r="B14" s="24">
        <v>58.265500000000003</v>
      </c>
      <c r="C14" s="24">
        <v>95.557259588525312</v>
      </c>
      <c r="D14" s="24">
        <v>79.130001975071039</v>
      </c>
      <c r="E14" s="28">
        <v>75.04042152786279</v>
      </c>
      <c r="F14" s="24">
        <v>75.236867826458607</v>
      </c>
      <c r="G14" s="27">
        <v>4.9199217129287043E-2</v>
      </c>
      <c r="H14" s="27">
        <v>-2.6178730688882815E-3</v>
      </c>
      <c r="K14" t="s">
        <v>1798</v>
      </c>
      <c r="L14" s="24">
        <v>210.30590000000001</v>
      </c>
      <c r="M14" s="23">
        <v>346.54478344</v>
      </c>
      <c r="N14" s="23">
        <v>338.10142246124013</v>
      </c>
      <c r="O14" s="23">
        <v>292.07670099049051</v>
      </c>
      <c r="P14" s="28">
        <v>265.61777859962569</v>
      </c>
      <c r="Q14" s="27">
        <v>0.21438432093530735</v>
      </c>
      <c r="R14" s="27">
        <v>9.0588952494797828E-2</v>
      </c>
    </row>
    <row r="15" spans="1:18" x14ac:dyDescent="0.3">
      <c r="A15" t="s">
        <v>1779</v>
      </c>
      <c r="B15" s="24">
        <v>54.973500000000001</v>
      </c>
      <c r="C15" s="24">
        <v>116.93704515</v>
      </c>
      <c r="D15" s="24">
        <v>114.59645245371252</v>
      </c>
      <c r="E15" s="24">
        <v>85.580124037721163</v>
      </c>
      <c r="F15" s="28">
        <v>78.281067711821493</v>
      </c>
      <c r="G15" s="27">
        <v>0.31689798387571755</v>
      </c>
      <c r="H15" s="27">
        <v>8.5289153386625891E-2</v>
      </c>
      <c r="K15" t="s">
        <v>1799</v>
      </c>
      <c r="L15" s="24">
        <v>200.89769999999999</v>
      </c>
      <c r="M15" s="23">
        <v>347.01160298999997</v>
      </c>
      <c r="N15" s="23">
        <v>337.54761531325056</v>
      </c>
      <c r="O15" s="23">
        <v>322.45315191368309</v>
      </c>
      <c r="P15" s="28">
        <v>252.60528065743807</v>
      </c>
      <c r="Q15" s="27">
        <v>0.25164548882084203</v>
      </c>
      <c r="R15" s="27">
        <v>0.2166140130487621</v>
      </c>
    </row>
    <row r="16" spans="1:18" x14ac:dyDescent="0.3">
      <c r="A16" t="s">
        <v>1780</v>
      </c>
      <c r="B16" s="24">
        <v>54.8902</v>
      </c>
      <c r="C16" s="28">
        <v>79.090030546070395</v>
      </c>
      <c r="D16" s="24">
        <v>110.35665208980406</v>
      </c>
      <c r="E16" s="24">
        <v>82.049848009066338</v>
      </c>
      <c r="F16" s="28">
        <v>79.823886337707364</v>
      </c>
      <c r="G16" s="27">
        <v>0.2766735414123499</v>
      </c>
      <c r="H16" s="27">
        <v>2.7129382020464065E-2</v>
      </c>
      <c r="K16" t="s">
        <v>1800</v>
      </c>
      <c r="L16" s="24">
        <v>215.86070000000001</v>
      </c>
      <c r="M16" s="23">
        <v>348.67897973999999</v>
      </c>
      <c r="N16" s="23">
        <v>336.4004596942421</v>
      </c>
      <c r="O16" s="23">
        <v>293.32710989082091</v>
      </c>
      <c r="P16" s="28">
        <v>280.69345257135177</v>
      </c>
      <c r="Q16" s="27">
        <v>0.16559729785602259</v>
      </c>
      <c r="R16" s="27">
        <v>4.3070200105852822E-2</v>
      </c>
    </row>
    <row r="17" spans="1:18" x14ac:dyDescent="0.3">
      <c r="A17" t="s">
        <v>1781</v>
      </c>
      <c r="B17" s="24">
        <v>62.474899999999998</v>
      </c>
      <c r="C17" s="24">
        <v>62.581996299609401</v>
      </c>
      <c r="D17" s="24">
        <v>67.93833028370095</v>
      </c>
      <c r="E17" s="24">
        <v>74.560326357414041</v>
      </c>
      <c r="F17" s="28">
        <v>63.492378102066596</v>
      </c>
      <c r="G17" s="27">
        <v>6.5440998668478911E-2</v>
      </c>
      <c r="H17" s="27">
        <v>0.14844286225749445</v>
      </c>
      <c r="K17" t="s">
        <v>1801</v>
      </c>
      <c r="L17" s="24" t="s">
        <v>831</v>
      </c>
      <c r="M17" s="23">
        <v>396.54088689999998</v>
      </c>
      <c r="N17" s="23">
        <v>386.31896932749197</v>
      </c>
      <c r="O17" s="23">
        <v>337.10442587511358</v>
      </c>
      <c r="P17" s="28">
        <v>295.91031548807416</v>
      </c>
      <c r="Q17" s="27">
        <v>0.2340259242169809</v>
      </c>
      <c r="R17" s="27">
        <v>0.12219985032857598</v>
      </c>
    </row>
    <row r="18" spans="1:18" x14ac:dyDescent="0.3">
      <c r="A18" t="s">
        <v>1782</v>
      </c>
      <c r="B18" s="24">
        <v>73.251499999999993</v>
      </c>
      <c r="C18" s="24">
        <v>143.50523222999999</v>
      </c>
      <c r="D18" s="24">
        <v>139.8957524937764</v>
      </c>
      <c r="E18" s="28">
        <v>95.2872019031946</v>
      </c>
      <c r="F18" s="24">
        <v>96.057852332269405</v>
      </c>
      <c r="G18" s="27">
        <v>0.31336119489015385</v>
      </c>
      <c r="H18" s="27">
        <v>-8.0876593465063103E-3</v>
      </c>
      <c r="K18" t="s">
        <v>1934</v>
      </c>
      <c r="L18" s="24">
        <v>267.83370000000002</v>
      </c>
      <c r="M18" s="23">
        <v>387.93392333999998</v>
      </c>
      <c r="N18" s="23">
        <v>378.92400822640354</v>
      </c>
      <c r="O18" s="23">
        <v>352.58550772426787</v>
      </c>
      <c r="P18" s="28">
        <v>328.88488801142933</v>
      </c>
      <c r="Q18" s="27">
        <v>0.13205581892049531</v>
      </c>
      <c r="R18" s="27">
        <v>6.7219494827828033E-2</v>
      </c>
    </row>
    <row r="19" spans="1:18" x14ac:dyDescent="0.3">
      <c r="A19" t="s">
        <v>1783</v>
      </c>
      <c r="B19" s="24">
        <v>75.9602</v>
      </c>
      <c r="C19" s="24">
        <v>136.68911327999999</v>
      </c>
      <c r="D19" s="24">
        <v>130.67448008437844</v>
      </c>
      <c r="E19" s="24">
        <v>107.79787016615427</v>
      </c>
      <c r="F19" s="28">
        <v>103.75426744136814</v>
      </c>
      <c r="G19" s="27">
        <v>0.20600971685999839</v>
      </c>
      <c r="H19" s="27">
        <v>3.7510970472362008E-2</v>
      </c>
      <c r="K19" t="s">
        <v>1936</v>
      </c>
      <c r="L19" s="24">
        <v>287.98559999999998</v>
      </c>
      <c r="M19" s="23">
        <v>484.42109742999997</v>
      </c>
      <c r="N19" s="23">
        <v>475.87326664797172</v>
      </c>
      <c r="O19" s="23">
        <v>434.44476397121673</v>
      </c>
      <c r="P19" s="28">
        <v>388.12634309343548</v>
      </c>
      <c r="Q19" s="27">
        <v>0.18439136993893632</v>
      </c>
      <c r="R19" s="27">
        <v>0.10661521260928347</v>
      </c>
    </row>
    <row r="20" spans="1:18" x14ac:dyDescent="0.3">
      <c r="A20" t="s">
        <v>1784</v>
      </c>
      <c r="B20" s="24">
        <v>69.497699999999995</v>
      </c>
      <c r="C20" s="24">
        <v>143.75224972999999</v>
      </c>
      <c r="D20" s="24">
        <v>139.7686740833378</v>
      </c>
      <c r="E20" s="24">
        <v>100.47303179399104</v>
      </c>
      <c r="F20" s="28">
        <v>96.89826578643283</v>
      </c>
      <c r="G20" s="27">
        <v>0.30672401078472894</v>
      </c>
      <c r="H20" s="27">
        <v>3.5579358398260312E-2</v>
      </c>
      <c r="K20" t="s">
        <v>1937</v>
      </c>
      <c r="L20" s="24">
        <v>275.36169999999998</v>
      </c>
      <c r="M20" s="23">
        <v>457.25276130999998</v>
      </c>
      <c r="N20" s="23">
        <v>447.36652871115837</v>
      </c>
      <c r="O20" s="23">
        <v>439.33158638710199</v>
      </c>
      <c r="P20" s="28">
        <v>370.57175348148411</v>
      </c>
      <c r="Q20" s="27">
        <v>0.17165963544683671</v>
      </c>
      <c r="R20" s="27">
        <v>0.15651010543328545</v>
      </c>
    </row>
    <row r="21" spans="1:18" x14ac:dyDescent="0.3">
      <c r="A21" t="s">
        <v>1785</v>
      </c>
      <c r="B21" s="24">
        <v>75.502700000000004</v>
      </c>
      <c r="C21" s="24">
        <v>159.07776181</v>
      </c>
      <c r="D21" s="24">
        <v>153.50249196774706</v>
      </c>
      <c r="E21" s="24">
        <v>108.49097012380952</v>
      </c>
      <c r="F21" s="28">
        <v>99.010361511311643</v>
      </c>
      <c r="G21" s="27">
        <v>0.35499182949997288</v>
      </c>
      <c r="H21" s="27">
        <v>8.7386153904593505E-2</v>
      </c>
      <c r="K21" t="s">
        <v>1938</v>
      </c>
      <c r="L21" s="24">
        <v>259.3408</v>
      </c>
      <c r="M21" s="23">
        <v>419.09047784000001</v>
      </c>
      <c r="N21" s="23">
        <v>408.26767612516005</v>
      </c>
      <c r="O21" s="23">
        <v>379.86534804127837</v>
      </c>
      <c r="P21" s="28">
        <v>325.84439678275163</v>
      </c>
      <c r="Q21" s="27">
        <v>0.20188539079233997</v>
      </c>
      <c r="R21" s="27">
        <v>0.1422107900525228</v>
      </c>
    </row>
    <row r="22" spans="1:18" x14ac:dyDescent="0.3">
      <c r="A22" t="s">
        <v>1786</v>
      </c>
      <c r="B22" s="24">
        <v>79.171099999999996</v>
      </c>
      <c r="C22" s="24">
        <v>155.03973479999999</v>
      </c>
      <c r="D22" s="24">
        <v>150.38724903240183</v>
      </c>
      <c r="E22" s="24">
        <v>120.55877081221855</v>
      </c>
      <c r="F22" s="28">
        <v>107.9504301020327</v>
      </c>
      <c r="G22" s="27">
        <v>0.28218362396685548</v>
      </c>
      <c r="H22" s="27">
        <v>0.10458252539605363</v>
      </c>
      <c r="K22" t="s">
        <v>1939</v>
      </c>
      <c r="L22" s="24">
        <v>216.4254</v>
      </c>
      <c r="M22" s="23">
        <v>404.35979653999999</v>
      </c>
      <c r="N22" s="23">
        <v>397.39577738440704</v>
      </c>
      <c r="O22" s="23">
        <v>293.56109496872045</v>
      </c>
      <c r="P22" s="28">
        <v>283.65999110412207</v>
      </c>
      <c r="Q22" s="27">
        <v>0.2862028052458811</v>
      </c>
      <c r="R22" s="27">
        <v>3.3727575057769035E-2</v>
      </c>
    </row>
    <row r="23" spans="1:18" x14ac:dyDescent="0.3">
      <c r="A23" t="s">
        <v>1787</v>
      </c>
      <c r="B23" s="24">
        <v>94.151300000000006</v>
      </c>
      <c r="C23" s="24">
        <v>168.03982887999999</v>
      </c>
      <c r="D23" s="24">
        <v>161.43302259709776</v>
      </c>
      <c r="E23" s="24">
        <v>115.84930425941576</v>
      </c>
      <c r="F23" s="28">
        <v>112.44468498811091</v>
      </c>
      <c r="G23" s="27">
        <v>0.30345921064273973</v>
      </c>
      <c r="H23" s="27">
        <v>2.9388344565980759E-2</v>
      </c>
      <c r="K23" t="s">
        <v>1802</v>
      </c>
      <c r="L23" s="24">
        <v>308.32679999999999</v>
      </c>
      <c r="M23" s="23">
        <v>512.01876425</v>
      </c>
      <c r="N23" s="23">
        <v>512.01876424889235</v>
      </c>
      <c r="O23" s="23">
        <v>470.00850554313564</v>
      </c>
      <c r="P23" s="28">
        <v>396.1062298661318</v>
      </c>
      <c r="Q23" s="27">
        <v>0.22638337200942008</v>
      </c>
      <c r="R23" s="27">
        <v>0.15723603893423874</v>
      </c>
    </row>
    <row r="24" spans="1:18" x14ac:dyDescent="0.3">
      <c r="A24" t="s">
        <v>1788</v>
      </c>
      <c r="B24" s="24">
        <v>98.319000000000003</v>
      </c>
      <c r="C24" s="24">
        <v>197.35531183000001</v>
      </c>
      <c r="D24" s="24">
        <v>192.30465255029085</v>
      </c>
      <c r="E24" s="24">
        <v>140.0327761318037</v>
      </c>
      <c r="F24" s="28">
        <v>136.135364351471</v>
      </c>
      <c r="G24" s="27">
        <v>0.29208491554373939</v>
      </c>
      <c r="H24" s="27">
        <v>2.7832139646109168E-2</v>
      </c>
      <c r="K24" t="s">
        <v>1803</v>
      </c>
      <c r="L24" s="24">
        <v>276.31970000000001</v>
      </c>
      <c r="M24" s="23">
        <v>505.60775784999998</v>
      </c>
      <c r="N24" s="23">
        <v>493.06308198393799</v>
      </c>
      <c r="O24" s="23">
        <v>467.25810398684257</v>
      </c>
      <c r="P24" s="28">
        <v>372.2120198442268</v>
      </c>
      <c r="Q24" s="27">
        <v>0.24510263809134269</v>
      </c>
      <c r="R24" s="27">
        <v>0.20341238243198487</v>
      </c>
    </row>
    <row r="25" spans="1:18" x14ac:dyDescent="0.3">
      <c r="A25" t="s">
        <v>1789</v>
      </c>
      <c r="B25" s="24">
        <v>95.824399999999997</v>
      </c>
      <c r="C25" s="24">
        <v>156.32958883000001</v>
      </c>
      <c r="D25" s="24">
        <v>148.07209015376804</v>
      </c>
      <c r="E25" s="24">
        <v>116.44529368534347</v>
      </c>
      <c r="F25" s="28">
        <v>112.49228066462901</v>
      </c>
      <c r="G25" s="27">
        <v>0.2402870753846357</v>
      </c>
      <c r="H25" s="27">
        <v>3.3947383321443897E-2</v>
      </c>
      <c r="K25" t="s">
        <v>1804</v>
      </c>
      <c r="L25" s="24">
        <v>302.69369999999998</v>
      </c>
      <c r="M25" s="23">
        <v>485.95009041999998</v>
      </c>
      <c r="N25" s="23">
        <v>462.66549612787236</v>
      </c>
      <c r="O25" s="23">
        <v>396.84192610446109</v>
      </c>
      <c r="P25" s="28">
        <v>380.47026685783743</v>
      </c>
      <c r="Q25" s="27">
        <v>0.17765584414213084</v>
      </c>
      <c r="R25" s="27">
        <v>4.125486288037554E-2</v>
      </c>
    </row>
    <row r="26" spans="1:18" x14ac:dyDescent="0.3">
      <c r="A26" t="s">
        <v>1790</v>
      </c>
      <c r="B26" s="24">
        <v>93.579400000000007</v>
      </c>
      <c r="C26" s="24">
        <v>180.29233119</v>
      </c>
      <c r="D26" s="24">
        <v>172.5957766878399</v>
      </c>
      <c r="E26" s="24">
        <v>133.51281268459496</v>
      </c>
      <c r="F26" s="28">
        <v>128.2387680792381</v>
      </c>
      <c r="G26" s="27">
        <v>0.25699938584723747</v>
      </c>
      <c r="H26" s="27">
        <v>3.9502160873623744E-2</v>
      </c>
      <c r="K26" t="s">
        <v>1805</v>
      </c>
      <c r="L26" s="24">
        <v>288.69060000000002</v>
      </c>
      <c r="M26" s="23">
        <v>459.95525519</v>
      </c>
      <c r="N26" s="23">
        <v>452.15871014547923</v>
      </c>
      <c r="O26" s="23">
        <v>429.10312486738792</v>
      </c>
      <c r="P26" s="28">
        <v>355.96800589413823</v>
      </c>
      <c r="Q26" s="27">
        <v>0.21273659468020034</v>
      </c>
      <c r="R26" s="27">
        <v>0.17043716238573586</v>
      </c>
    </row>
    <row r="27" spans="1:18" x14ac:dyDescent="0.3">
      <c r="A27" t="s">
        <v>1791</v>
      </c>
      <c r="B27" s="24">
        <v>112.7895</v>
      </c>
      <c r="C27" s="24">
        <v>231.07773642000001</v>
      </c>
      <c r="D27" s="24">
        <v>221.23502350238041</v>
      </c>
      <c r="E27" s="28">
        <v>163.40759993350167</v>
      </c>
      <c r="F27" s="24">
        <v>164.89065281409654</v>
      </c>
      <c r="G27" s="27">
        <v>0.25468106177898014</v>
      </c>
      <c r="H27" s="27">
        <v>-9.0757888935300048E-3</v>
      </c>
      <c r="K27" t="s">
        <v>1806</v>
      </c>
      <c r="L27" s="24">
        <v>289.44619999999998</v>
      </c>
      <c r="M27" s="23">
        <v>496.29280845</v>
      </c>
      <c r="N27" s="23">
        <v>487.9726660085289</v>
      </c>
      <c r="O27" s="23">
        <v>393.01949209820719</v>
      </c>
      <c r="P27" s="28">
        <v>353.14750299095687</v>
      </c>
      <c r="Q27" s="27">
        <v>0.2762965477562539</v>
      </c>
      <c r="R27" s="27">
        <v>0.1014504112617579</v>
      </c>
    </row>
    <row r="28" spans="1:18" x14ac:dyDescent="0.3">
      <c r="F28" s="13"/>
      <c r="G28" s="27"/>
      <c r="H28" s="27"/>
    </row>
    <row r="29" spans="1:18" x14ac:dyDescent="0.3">
      <c r="F29" s="13"/>
      <c r="G29" s="27"/>
      <c r="H29" s="27"/>
    </row>
    <row r="30" spans="1:18" x14ac:dyDescent="0.3">
      <c r="F30" s="13"/>
      <c r="G30" s="27"/>
      <c r="H30" s="27"/>
    </row>
    <row r="31" spans="1:18" x14ac:dyDescent="0.3">
      <c r="F31" s="13"/>
      <c r="G31" s="27"/>
      <c r="H31" s="27"/>
    </row>
    <row r="32" spans="1:18" x14ac:dyDescent="0.3">
      <c r="F32" s="13"/>
      <c r="G32" s="27"/>
      <c r="H32" s="27"/>
    </row>
    <row r="33" spans="6:8" x14ac:dyDescent="0.3">
      <c r="F33" s="13"/>
      <c r="G33" s="27"/>
      <c r="H33" s="27"/>
    </row>
    <row r="34" spans="6:8" x14ac:dyDescent="0.3">
      <c r="F34" s="13"/>
      <c r="G34" s="27"/>
      <c r="H34" s="27"/>
    </row>
    <row r="35" spans="6:8" x14ac:dyDescent="0.3">
      <c r="F35" s="13"/>
      <c r="G35" s="27"/>
      <c r="H35" s="27"/>
    </row>
    <row r="36" spans="6:8" x14ac:dyDescent="0.3">
      <c r="F36" s="13"/>
      <c r="G36" s="27"/>
      <c r="H36" s="27"/>
    </row>
    <row r="37" spans="6:8" x14ac:dyDescent="0.3">
      <c r="F37" s="13"/>
      <c r="G37" s="27"/>
      <c r="H37" s="27"/>
    </row>
    <row r="38" spans="6:8" x14ac:dyDescent="0.3">
      <c r="F38" s="13"/>
      <c r="G38" s="27"/>
      <c r="H38" s="27"/>
    </row>
    <row r="39" spans="6:8" x14ac:dyDescent="0.3">
      <c r="G39" s="27"/>
      <c r="H39" s="27"/>
    </row>
    <row r="40" spans="6:8" x14ac:dyDescent="0.3">
      <c r="G40" s="27"/>
      <c r="H40" s="27"/>
    </row>
    <row r="41" spans="6:8" x14ac:dyDescent="0.3">
      <c r="F41" s="13"/>
      <c r="G41" s="27"/>
      <c r="H41" s="27"/>
    </row>
    <row r="42" spans="6:8" x14ac:dyDescent="0.3">
      <c r="G42" s="27"/>
      <c r="H42" s="27"/>
    </row>
  </sheetData>
  <mergeCells count="8">
    <mergeCell ref="A1:A2"/>
    <mergeCell ref="B1:B2"/>
    <mergeCell ref="K1:K2"/>
    <mergeCell ref="L1:L2"/>
    <mergeCell ref="Q1:R1"/>
    <mergeCell ref="M1:P1"/>
    <mergeCell ref="C1:F1"/>
    <mergeCell ref="G1:H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5081-4DB1-4351-96E9-1851A4EF3B9C}">
  <dimension ref="A1:J27"/>
  <sheetViews>
    <sheetView workbookViewId="0">
      <selection activeCell="C2" sqref="C2"/>
    </sheetView>
  </sheetViews>
  <sheetFormatPr defaultRowHeight="14" x14ac:dyDescent="0.3"/>
  <cols>
    <col min="1" max="1" width="9" bestFit="1" customWidth="1"/>
    <col min="2" max="2" width="6.58203125" bestFit="1" customWidth="1"/>
    <col min="3" max="3" width="10.6640625" bestFit="1" customWidth="1"/>
    <col min="4" max="7" width="7.58203125" bestFit="1" customWidth="1"/>
    <col min="8" max="8" width="6.5" bestFit="1" customWidth="1"/>
    <col min="9" max="10" width="7.08203125" bestFit="1" customWidth="1"/>
  </cols>
  <sheetData>
    <row r="1" spans="1:10" x14ac:dyDescent="0.3">
      <c r="A1" s="33" t="s">
        <v>826</v>
      </c>
      <c r="B1" s="33" t="s">
        <v>1762</v>
      </c>
      <c r="C1" s="33" t="s">
        <v>810</v>
      </c>
      <c r="D1" s="33"/>
      <c r="E1" s="33"/>
      <c r="F1" s="33"/>
      <c r="G1" s="33" t="s">
        <v>1812</v>
      </c>
      <c r="H1" s="33"/>
    </row>
    <row r="2" spans="1:10" x14ac:dyDescent="0.3">
      <c r="A2" s="33"/>
      <c r="B2" s="33"/>
      <c r="C2" s="30" t="s">
        <v>1815</v>
      </c>
      <c r="D2" t="s">
        <v>1810</v>
      </c>
      <c r="E2" t="s">
        <v>1811</v>
      </c>
      <c r="F2" t="s">
        <v>815</v>
      </c>
      <c r="G2" t="s">
        <v>1813</v>
      </c>
      <c r="H2" t="s">
        <v>1814</v>
      </c>
    </row>
    <row r="3" spans="1:10" x14ac:dyDescent="0.3">
      <c r="A3" t="s">
        <v>1772</v>
      </c>
      <c r="B3" s="22">
        <v>131.54249999999999</v>
      </c>
      <c r="C3" s="24">
        <v>323.61072381999998</v>
      </c>
      <c r="D3" s="24">
        <v>319.53606947777735</v>
      </c>
      <c r="E3" s="24">
        <v>236.92127413431751</v>
      </c>
      <c r="F3" s="28">
        <v>225.10988662137976</v>
      </c>
      <c r="G3" s="27">
        <v>0.29551024712396234</v>
      </c>
      <c r="H3" s="27">
        <v>4.9853638328154266E-2</v>
      </c>
      <c r="I3" s="31">
        <f>D3-$F3</f>
        <v>94.426182856397588</v>
      </c>
      <c r="J3" s="31">
        <f>E3-$F3</f>
        <v>11.811387512937756</v>
      </c>
    </row>
    <row r="4" spans="1:10" x14ac:dyDescent="0.3">
      <c r="A4" t="s">
        <v>1773</v>
      </c>
      <c r="B4" s="22">
        <v>151.0796</v>
      </c>
      <c r="C4" s="24">
        <v>300.12227220326088</v>
      </c>
      <c r="D4" s="24">
        <v>331.50048436174211</v>
      </c>
      <c r="E4" s="24">
        <v>241.10929739884776</v>
      </c>
      <c r="F4" s="28">
        <v>238.98936419206723</v>
      </c>
      <c r="G4" s="27">
        <v>0.27906782805398345</v>
      </c>
      <c r="H4" s="27">
        <v>8.7924158448095622E-3</v>
      </c>
      <c r="I4" s="31">
        <f t="shared" ref="I4:I27" si="0">D4-$F4</f>
        <v>92.511120169674882</v>
      </c>
      <c r="J4" s="31">
        <f t="shared" ref="J4:J27" si="1">E4-$F4</f>
        <v>2.1199332067805301</v>
      </c>
    </row>
    <row r="5" spans="1:10" x14ac:dyDescent="0.3">
      <c r="A5" t="s">
        <v>1774</v>
      </c>
      <c r="B5" s="22">
        <v>103.3734</v>
      </c>
      <c r="C5" s="24">
        <v>119.32010848375801</v>
      </c>
      <c r="D5" s="24">
        <v>162.12217431841853</v>
      </c>
      <c r="E5" s="28">
        <v>123.11756293151566</v>
      </c>
      <c r="F5" s="24">
        <v>123.24506749593867</v>
      </c>
      <c r="G5" s="27">
        <v>0.23980129174755999</v>
      </c>
      <c r="H5" s="27">
        <v>-1.0356326212689151E-3</v>
      </c>
      <c r="I5" s="31">
        <f t="shared" si="0"/>
        <v>38.87710682247986</v>
      </c>
      <c r="J5" s="31">
        <f t="shared" si="1"/>
        <v>-0.12750456442300617</v>
      </c>
    </row>
    <row r="6" spans="1:10" x14ac:dyDescent="0.3">
      <c r="A6" t="s">
        <v>1775</v>
      </c>
      <c r="B6" s="22">
        <v>114.03449999999999</v>
      </c>
      <c r="C6" s="24">
        <v>123.83911959795853</v>
      </c>
      <c r="D6" s="24">
        <v>143.49692738316031</v>
      </c>
      <c r="E6" s="24">
        <v>128.742257434697</v>
      </c>
      <c r="F6" s="28">
        <v>127.98914761587699</v>
      </c>
      <c r="G6" s="27">
        <v>0.10807046568931063</v>
      </c>
      <c r="H6" s="27">
        <v>5.8497484340137018E-3</v>
      </c>
      <c r="I6" s="31">
        <f t="shared" si="0"/>
        <v>15.507779767283324</v>
      </c>
      <c r="J6" s="31">
        <f t="shared" si="1"/>
        <v>0.7531098188200076</v>
      </c>
    </row>
    <row r="7" spans="1:10" x14ac:dyDescent="0.3">
      <c r="A7" t="s">
        <v>1776</v>
      </c>
      <c r="B7" s="22">
        <v>145.7363</v>
      </c>
      <c r="C7" s="24">
        <v>307.55923868999997</v>
      </c>
      <c r="D7" s="24">
        <v>301.28076674069325</v>
      </c>
      <c r="E7" s="24">
        <v>216.38221847062465</v>
      </c>
      <c r="F7" s="28">
        <v>216.13564150369564</v>
      </c>
      <c r="G7" s="27">
        <v>0.28261055678433145</v>
      </c>
      <c r="H7" s="27">
        <v>1.1395435755849183E-3</v>
      </c>
      <c r="I7" s="31">
        <f t="shared" si="0"/>
        <v>85.145125236997615</v>
      </c>
      <c r="J7" s="31">
        <f t="shared" si="1"/>
        <v>0.24657696692901254</v>
      </c>
    </row>
    <row r="8" spans="1:10" x14ac:dyDescent="0.3">
      <c r="A8" t="s">
        <v>1782</v>
      </c>
      <c r="B8" s="22">
        <v>376.39120000000003</v>
      </c>
      <c r="C8" s="24">
        <v>669.02320264000002</v>
      </c>
      <c r="D8" s="24">
        <v>669.02320263829938</v>
      </c>
      <c r="E8" s="24">
        <v>617.15626248967908</v>
      </c>
      <c r="F8" s="28">
        <v>525.2524278292135</v>
      </c>
      <c r="G8" s="27">
        <v>0.21489654505572373</v>
      </c>
      <c r="H8" s="27">
        <v>0.1489150159308357</v>
      </c>
      <c r="I8" s="31">
        <f t="shared" si="0"/>
        <v>143.77077480908588</v>
      </c>
      <c r="J8" s="31">
        <f t="shared" si="1"/>
        <v>91.903834660465577</v>
      </c>
    </row>
    <row r="9" spans="1:10" x14ac:dyDescent="0.3">
      <c r="A9" t="s">
        <v>1783</v>
      </c>
      <c r="B9" s="22">
        <v>379.10109999999997</v>
      </c>
      <c r="C9" s="24">
        <v>875.64707764000002</v>
      </c>
      <c r="D9" s="24">
        <v>875.64707763803267</v>
      </c>
      <c r="E9" s="24">
        <v>714.88367914656374</v>
      </c>
      <c r="F9" s="28">
        <v>630.57472931700363</v>
      </c>
      <c r="G9" s="27">
        <v>0.2798757108652567</v>
      </c>
      <c r="H9" s="27">
        <v>0.11793380138459601</v>
      </c>
      <c r="I9" s="31">
        <f t="shared" si="0"/>
        <v>245.07234832102904</v>
      </c>
      <c r="J9" s="31">
        <f t="shared" si="1"/>
        <v>84.308949829560106</v>
      </c>
    </row>
    <row r="10" spans="1:10" x14ac:dyDescent="0.3">
      <c r="A10" t="s">
        <v>1784</v>
      </c>
      <c r="B10" s="22">
        <v>358.22</v>
      </c>
      <c r="C10" s="24">
        <v>615.18325637999999</v>
      </c>
      <c r="D10" s="24">
        <v>615.18325638420697</v>
      </c>
      <c r="E10" s="24">
        <v>528.17197590094327</v>
      </c>
      <c r="F10" s="28">
        <v>469.27501128934068</v>
      </c>
      <c r="G10" s="27">
        <v>0.23717850507254484</v>
      </c>
      <c r="H10" s="27">
        <v>0.11151096101063963</v>
      </c>
      <c r="I10" s="31">
        <f t="shared" si="0"/>
        <v>145.90824509486629</v>
      </c>
      <c r="J10" s="31">
        <f t="shared" si="1"/>
        <v>58.896964611602584</v>
      </c>
    </row>
    <row r="11" spans="1:10" x14ac:dyDescent="0.3">
      <c r="A11" t="s">
        <v>1785</v>
      </c>
      <c r="B11" s="22">
        <v>390.29390000000001</v>
      </c>
      <c r="C11" s="24">
        <v>872.76363796999999</v>
      </c>
      <c r="D11" s="24">
        <v>872.76363796921987</v>
      </c>
      <c r="E11" s="24">
        <v>751.40585432762532</v>
      </c>
      <c r="F11" s="28">
        <v>677.61251058916673</v>
      </c>
      <c r="G11" s="27">
        <v>0.22360134965537556</v>
      </c>
      <c r="H11" s="27">
        <v>9.8207038597657073E-2</v>
      </c>
      <c r="I11" s="31">
        <f t="shared" si="0"/>
        <v>195.15112738005314</v>
      </c>
      <c r="J11" s="31">
        <f t="shared" si="1"/>
        <v>73.793343738458589</v>
      </c>
    </row>
    <row r="12" spans="1:10" x14ac:dyDescent="0.3">
      <c r="A12" t="s">
        <v>1786</v>
      </c>
      <c r="B12" s="22">
        <v>361.71280000000002</v>
      </c>
      <c r="C12" s="24">
        <v>673.31434578000005</v>
      </c>
      <c r="D12" s="24">
        <v>673.31434578204039</v>
      </c>
      <c r="E12" s="24">
        <v>601.77079650144526</v>
      </c>
      <c r="F12" s="28">
        <v>533.85078008975802</v>
      </c>
      <c r="G12" s="27">
        <v>0.20712994839029961</v>
      </c>
      <c r="H12" s="27">
        <v>0.11286692010738697</v>
      </c>
      <c r="I12" s="31">
        <f t="shared" si="0"/>
        <v>139.46356569228237</v>
      </c>
      <c r="J12" s="31">
        <f t="shared" si="1"/>
        <v>67.920016411687243</v>
      </c>
    </row>
    <row r="13" spans="1:10" x14ac:dyDescent="0.3">
      <c r="A13" t="s">
        <v>1792</v>
      </c>
      <c r="B13" s="25" t="str">
        <f t="shared" ref="B13:B27" si="2">IFERROR((#REF!-#REF!)/#REF!,"-")</f>
        <v>-</v>
      </c>
      <c r="C13" s="28">
        <v>1208.5581307499999</v>
      </c>
      <c r="D13" s="28">
        <v>1208.5581307509215</v>
      </c>
      <c r="E13" s="28">
        <v>1208.5581307509215</v>
      </c>
      <c r="F13" s="28">
        <v>1208.5581307509215</v>
      </c>
      <c r="G13" s="27">
        <v>0</v>
      </c>
      <c r="H13" s="27">
        <v>0</v>
      </c>
      <c r="I13" s="31">
        <f t="shared" si="0"/>
        <v>0</v>
      </c>
      <c r="J13" s="31">
        <f t="shared" si="1"/>
        <v>0</v>
      </c>
    </row>
    <row r="14" spans="1:10" x14ac:dyDescent="0.3">
      <c r="A14" t="s">
        <v>1793</v>
      </c>
      <c r="B14" s="25" t="str">
        <f t="shared" si="2"/>
        <v>-</v>
      </c>
      <c r="C14" s="24">
        <v>1375.20956692</v>
      </c>
      <c r="D14" s="24">
        <v>1375.2095669217042</v>
      </c>
      <c r="E14" s="24">
        <v>1343.8725247922441</v>
      </c>
      <c r="F14" s="28">
        <v>1186.7271707572488</v>
      </c>
      <c r="G14" s="27">
        <v>0.13705721709481564</v>
      </c>
      <c r="H14" s="27">
        <v>0.11693471749434656</v>
      </c>
      <c r="I14" s="31">
        <f t="shared" si="0"/>
        <v>188.48239616445539</v>
      </c>
      <c r="J14" s="31">
        <f t="shared" si="1"/>
        <v>157.14535403499531</v>
      </c>
    </row>
    <row r="15" spans="1:10" x14ac:dyDescent="0.3">
      <c r="A15" t="s">
        <v>1794</v>
      </c>
      <c r="B15" s="25" t="str">
        <f t="shared" si="2"/>
        <v>-</v>
      </c>
      <c r="C15" s="24">
        <v>1203.52692695</v>
      </c>
      <c r="D15" s="24">
        <v>1203.5269269478968</v>
      </c>
      <c r="E15" s="24">
        <v>1179.3138144186501</v>
      </c>
      <c r="F15" s="28">
        <v>1031.6821416486048</v>
      </c>
      <c r="G15" s="27">
        <v>0.14278432949986794</v>
      </c>
      <c r="H15" s="27">
        <v>0.12518438346524519</v>
      </c>
      <c r="I15" s="31">
        <f t="shared" si="0"/>
        <v>171.84478529929197</v>
      </c>
      <c r="J15" s="31">
        <f t="shared" si="1"/>
        <v>147.63167277004527</v>
      </c>
    </row>
    <row r="16" spans="1:10" x14ac:dyDescent="0.3">
      <c r="A16" t="s">
        <v>1795</v>
      </c>
      <c r="B16" s="25" t="str">
        <f t="shared" si="2"/>
        <v>-</v>
      </c>
      <c r="C16" s="24">
        <v>1255.0435796500001</v>
      </c>
      <c r="D16" s="24">
        <v>1255.0435796468382</v>
      </c>
      <c r="E16" s="24">
        <v>1204.6246490867941</v>
      </c>
      <c r="F16" s="28">
        <v>1103.9327734666153</v>
      </c>
      <c r="G16" s="27">
        <v>0.12040283591008415</v>
      </c>
      <c r="H16" s="27">
        <v>8.3587759636590181E-2</v>
      </c>
      <c r="I16" s="31">
        <f t="shared" si="0"/>
        <v>151.11080618022288</v>
      </c>
      <c r="J16" s="31">
        <f t="shared" si="1"/>
        <v>100.69187562017873</v>
      </c>
    </row>
    <row r="17" spans="1:10" x14ac:dyDescent="0.3">
      <c r="A17" t="s">
        <v>1796</v>
      </c>
      <c r="B17" s="25" t="str">
        <f t="shared" si="2"/>
        <v>-</v>
      </c>
      <c r="C17" s="24">
        <v>1298.8821658300001</v>
      </c>
      <c r="D17" s="24">
        <v>1298.8821658264528</v>
      </c>
      <c r="E17" s="24">
        <v>1279.1086280841514</v>
      </c>
      <c r="F17" s="28">
        <v>1192.9265569658357</v>
      </c>
      <c r="G17" s="27">
        <v>8.1574458136623687E-2</v>
      </c>
      <c r="H17" s="27">
        <v>6.7376663112185514E-2</v>
      </c>
      <c r="I17" s="31">
        <f t="shared" si="0"/>
        <v>105.95560886061708</v>
      </c>
      <c r="J17" s="31">
        <f t="shared" si="1"/>
        <v>86.182071118315662</v>
      </c>
    </row>
    <row r="18" spans="1:10" x14ac:dyDescent="0.3">
      <c r="A18" t="s">
        <v>1797</v>
      </c>
      <c r="B18" s="25" t="str">
        <f t="shared" si="2"/>
        <v>-</v>
      </c>
      <c r="C18" s="24">
        <v>1877.11863879</v>
      </c>
      <c r="D18" s="24">
        <v>1877.1186387918679</v>
      </c>
      <c r="E18" s="24">
        <v>1876.6927050365066</v>
      </c>
      <c r="F18" s="28">
        <v>1811.8662396472282</v>
      </c>
      <c r="G18" s="27">
        <v>3.4762000544961147E-2</v>
      </c>
      <c r="H18" s="27">
        <v>3.4542930345123998E-2</v>
      </c>
      <c r="I18" s="31">
        <f t="shared" si="0"/>
        <v>65.252399144639639</v>
      </c>
      <c r="J18" s="31">
        <f t="shared" si="1"/>
        <v>64.826465389278383</v>
      </c>
    </row>
    <row r="19" spans="1:10" x14ac:dyDescent="0.3">
      <c r="A19" t="s">
        <v>1798</v>
      </c>
      <c r="B19" s="25" t="str">
        <f t="shared" si="2"/>
        <v>-</v>
      </c>
      <c r="C19" s="24">
        <v>1767.60533108</v>
      </c>
      <c r="D19" s="24">
        <v>1767.6053310804286</v>
      </c>
      <c r="E19" s="24">
        <v>1758.836151631021</v>
      </c>
      <c r="F19" s="28">
        <v>1699.0113713965643</v>
      </c>
      <c r="G19" s="27">
        <v>3.8806151168336356E-2</v>
      </c>
      <c r="H19" s="27">
        <v>3.4013844995725975E-2</v>
      </c>
      <c r="I19" s="31">
        <f t="shared" si="0"/>
        <v>68.593959683864341</v>
      </c>
      <c r="J19" s="31">
        <f t="shared" si="1"/>
        <v>59.824780234456739</v>
      </c>
    </row>
    <row r="20" spans="1:10" x14ac:dyDescent="0.3">
      <c r="A20" t="s">
        <v>1799</v>
      </c>
      <c r="B20" s="25" t="str">
        <f t="shared" si="2"/>
        <v>-</v>
      </c>
      <c r="C20" s="24">
        <v>1769.4187633500001</v>
      </c>
      <c r="D20" s="24">
        <v>1769.4187633508227</v>
      </c>
      <c r="E20" s="24">
        <v>1760.3597205377405</v>
      </c>
      <c r="F20" s="28">
        <v>1697.601469307665</v>
      </c>
      <c r="G20" s="27">
        <v>4.0588070800805974E-2</v>
      </c>
      <c r="H20" s="27">
        <v>3.5650810739355387E-2</v>
      </c>
      <c r="I20" s="31">
        <f t="shared" si="0"/>
        <v>71.817294043157744</v>
      </c>
      <c r="J20" s="31">
        <f t="shared" si="1"/>
        <v>62.75825123007553</v>
      </c>
    </row>
    <row r="21" spans="1:10" x14ac:dyDescent="0.3">
      <c r="A21" t="s">
        <v>1800</v>
      </c>
      <c r="B21" s="25" t="str">
        <f t="shared" si="2"/>
        <v>-</v>
      </c>
      <c r="C21" s="24">
        <v>1810.7983752</v>
      </c>
      <c r="D21" s="24">
        <v>1810.7983751956524</v>
      </c>
      <c r="E21" s="24">
        <v>1784.420821272503</v>
      </c>
      <c r="F21" s="28">
        <v>1617.1771751392848</v>
      </c>
      <c r="G21" s="27">
        <v>0.10692587463551664</v>
      </c>
      <c r="H21" s="27">
        <v>9.3724330124075578E-2</v>
      </c>
      <c r="I21" s="31">
        <f t="shared" si="0"/>
        <v>193.62120005636757</v>
      </c>
      <c r="J21" s="31">
        <f t="shared" si="1"/>
        <v>167.24364613321814</v>
      </c>
    </row>
    <row r="22" spans="1:10" x14ac:dyDescent="0.3">
      <c r="A22" t="s">
        <v>1801</v>
      </c>
      <c r="B22" s="25" t="str">
        <f t="shared" si="2"/>
        <v>-</v>
      </c>
      <c r="C22" s="24">
        <v>1916.54900888</v>
      </c>
      <c r="D22" s="24">
        <v>1916.5490088828678</v>
      </c>
      <c r="E22" s="24">
        <v>1910.9345525690005</v>
      </c>
      <c r="F22" s="28">
        <v>1837.4136781124437</v>
      </c>
      <c r="G22" s="27">
        <v>4.1290533351167023E-2</v>
      </c>
      <c r="H22" s="27">
        <v>3.8473779417362922E-2</v>
      </c>
      <c r="I22" s="31">
        <f t="shared" si="0"/>
        <v>79.135330770424162</v>
      </c>
      <c r="J22" s="31">
        <f t="shared" si="1"/>
        <v>73.52087445655684</v>
      </c>
    </row>
    <row r="23" spans="1:10" x14ac:dyDescent="0.3">
      <c r="A23" t="s">
        <v>1802</v>
      </c>
      <c r="B23" s="25" t="str">
        <f t="shared" si="2"/>
        <v>-</v>
      </c>
      <c r="C23" s="24">
        <v>2628.27781671</v>
      </c>
      <c r="D23" s="24">
        <v>2628.2778167134284</v>
      </c>
      <c r="E23" s="24">
        <v>2624.2877471526199</v>
      </c>
      <c r="F23" s="28">
        <v>2530.4166491521605</v>
      </c>
      <c r="G23" s="27">
        <v>3.7233951045418746E-2</v>
      </c>
      <c r="H23" s="27">
        <v>3.5770123951655269E-2</v>
      </c>
      <c r="I23" s="31">
        <f t="shared" si="0"/>
        <v>97.861167561267848</v>
      </c>
      <c r="J23" s="31">
        <f t="shared" si="1"/>
        <v>93.871098000459369</v>
      </c>
    </row>
    <row r="24" spans="1:10" x14ac:dyDescent="0.3">
      <c r="A24" t="s">
        <v>1803</v>
      </c>
      <c r="B24" s="25" t="str">
        <f t="shared" si="2"/>
        <v>-</v>
      </c>
      <c r="C24" s="24">
        <v>2489.2333634299998</v>
      </c>
      <c r="D24" s="24">
        <v>2489.2333634341867</v>
      </c>
      <c r="E24" s="24">
        <v>2472.899430628936</v>
      </c>
      <c r="F24" s="28">
        <v>2444.015455984334</v>
      </c>
      <c r="G24" s="27">
        <v>1.8165395062626547E-2</v>
      </c>
      <c r="H24" s="27">
        <v>1.1680205950492635E-2</v>
      </c>
      <c r="I24" s="31">
        <f t="shared" si="0"/>
        <v>45.217907449852646</v>
      </c>
      <c r="J24" s="31">
        <f t="shared" si="1"/>
        <v>28.883974644601949</v>
      </c>
    </row>
    <row r="25" spans="1:10" x14ac:dyDescent="0.3">
      <c r="A25" t="s">
        <v>1804</v>
      </c>
      <c r="B25" s="25" t="str">
        <f t="shared" si="2"/>
        <v>-</v>
      </c>
      <c r="C25" s="24">
        <v>2431.4721356700002</v>
      </c>
      <c r="D25" s="24">
        <v>2431.472135671559</v>
      </c>
      <c r="E25" s="24">
        <v>2421.0646034384959</v>
      </c>
      <c r="F25" s="28">
        <v>2322.5820588080342</v>
      </c>
      <c r="G25" s="27">
        <v>4.4783600546362032E-2</v>
      </c>
      <c r="H25" s="27">
        <v>4.0677371636672857E-2</v>
      </c>
      <c r="I25" s="31">
        <f t="shared" si="0"/>
        <v>108.89007686352488</v>
      </c>
      <c r="J25" s="31">
        <f t="shared" si="1"/>
        <v>98.482544630461689</v>
      </c>
    </row>
    <row r="26" spans="1:10" x14ac:dyDescent="0.3">
      <c r="A26" t="s">
        <v>1805</v>
      </c>
      <c r="B26" s="25" t="str">
        <f t="shared" si="2"/>
        <v>-</v>
      </c>
      <c r="C26" s="24">
        <v>2621.9457205600002</v>
      </c>
      <c r="D26" s="24">
        <v>2621.9457205559188</v>
      </c>
      <c r="E26" s="24">
        <v>2594.4888374727238</v>
      </c>
      <c r="F26" s="28">
        <v>2497.0165783656589</v>
      </c>
      <c r="G26" s="27">
        <v>4.764749369554902E-2</v>
      </c>
      <c r="H26" s="27">
        <v>3.7568964529449307E-2</v>
      </c>
      <c r="I26" s="31">
        <f t="shared" si="0"/>
        <v>124.92914219025988</v>
      </c>
      <c r="J26" s="31">
        <f t="shared" si="1"/>
        <v>97.472259107064929</v>
      </c>
    </row>
    <row r="27" spans="1:10" x14ac:dyDescent="0.3">
      <c r="A27" t="s">
        <v>1806</v>
      </c>
      <c r="B27" s="25" t="str">
        <f t="shared" si="2"/>
        <v>-</v>
      </c>
      <c r="C27" s="24">
        <v>2537.2195221400002</v>
      </c>
      <c r="D27" s="24">
        <v>2537.2195221448696</v>
      </c>
      <c r="E27" s="24">
        <v>2528.6291866627716</v>
      </c>
      <c r="F27" s="28">
        <v>2337.4109040825592</v>
      </c>
      <c r="G27" s="27">
        <v>7.8751017134457382E-2</v>
      </c>
      <c r="H27" s="27">
        <v>7.5621322251910747E-2</v>
      </c>
      <c r="I27" s="31">
        <f t="shared" si="0"/>
        <v>199.80861806231042</v>
      </c>
      <c r="J27" s="31">
        <f t="shared" si="1"/>
        <v>191.21828258021242</v>
      </c>
    </row>
  </sheetData>
  <mergeCells count="4">
    <mergeCell ref="A1:A2"/>
    <mergeCell ref="G1:H1"/>
    <mergeCell ref="B1:B2"/>
    <mergeCell ref="C1:F1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F960-8696-47D0-8FAB-D94B4C19DAFE}">
  <dimension ref="A1:L76"/>
  <sheetViews>
    <sheetView topLeftCell="A16" workbookViewId="0">
      <selection activeCell="F37" sqref="F37:L41"/>
    </sheetView>
  </sheetViews>
  <sheetFormatPr defaultRowHeight="14" x14ac:dyDescent="0.3"/>
  <cols>
    <col min="1" max="1" width="12.25" customWidth="1"/>
    <col min="2" max="2" width="11.25" customWidth="1"/>
    <col min="10" max="10" width="14.1640625" customWidth="1"/>
  </cols>
  <sheetData>
    <row r="1" spans="1:12" x14ac:dyDescent="0.3">
      <c r="A1" t="s">
        <v>1955</v>
      </c>
      <c r="B1" t="s">
        <v>1956</v>
      </c>
      <c r="C1" t="s">
        <v>1958</v>
      </c>
      <c r="D1" t="s">
        <v>1959</v>
      </c>
      <c r="E1" t="s">
        <v>1960</v>
      </c>
      <c r="F1" t="s">
        <v>1762</v>
      </c>
      <c r="G1" t="s">
        <v>39</v>
      </c>
      <c r="H1" t="s">
        <v>806</v>
      </c>
      <c r="I1" t="s">
        <v>40</v>
      </c>
      <c r="J1" s="24" t="s">
        <v>1953</v>
      </c>
      <c r="K1" t="s">
        <v>1810</v>
      </c>
      <c r="L1" t="s">
        <v>1811</v>
      </c>
    </row>
    <row r="2" spans="1:12" x14ac:dyDescent="0.3">
      <c r="A2" t="s">
        <v>1951</v>
      </c>
      <c r="B2" t="s">
        <v>1767</v>
      </c>
      <c r="C2">
        <v>3</v>
      </c>
      <c r="D2">
        <v>20</v>
      </c>
      <c r="E2">
        <v>1</v>
      </c>
      <c r="F2">
        <v>19.113199999999999</v>
      </c>
      <c r="G2">
        <v>19.113158371209611</v>
      </c>
      <c r="H2">
        <v>32.910009879999997</v>
      </c>
      <c r="I2">
        <v>19.120358371209612</v>
      </c>
      <c r="J2" s="24">
        <v>19.113158371209611</v>
      </c>
      <c r="K2">
        <v>19.1131583712096</v>
      </c>
      <c r="L2">
        <v>19.113158371209611</v>
      </c>
    </row>
    <row r="3" spans="1:12" x14ac:dyDescent="0.3">
      <c r="A3" t="s">
        <v>1951</v>
      </c>
      <c r="B3" t="s">
        <v>1768</v>
      </c>
      <c r="C3">
        <v>3</v>
      </c>
      <c r="D3">
        <v>20</v>
      </c>
      <c r="E3">
        <v>2</v>
      </c>
      <c r="F3">
        <v>22.1524</v>
      </c>
      <c r="G3">
        <v>22.152430125032964</v>
      </c>
      <c r="H3">
        <v>42.891180929999997</v>
      </c>
      <c r="I3">
        <v>22.152430125032968</v>
      </c>
      <c r="J3" s="24">
        <v>22.152430125032964</v>
      </c>
      <c r="K3">
        <v>22.152430125032968</v>
      </c>
      <c r="L3">
        <v>22.152430125032968</v>
      </c>
    </row>
    <row r="4" spans="1:12" x14ac:dyDescent="0.3">
      <c r="A4" t="s">
        <v>1951</v>
      </c>
      <c r="B4" t="s">
        <v>1769</v>
      </c>
      <c r="C4">
        <v>3</v>
      </c>
      <c r="D4">
        <v>20</v>
      </c>
      <c r="E4">
        <v>3</v>
      </c>
      <c r="F4">
        <v>2.3319999999999999</v>
      </c>
      <c r="G4">
        <v>2.3320333963418576</v>
      </c>
      <c r="H4">
        <v>2.3320333999999998</v>
      </c>
      <c r="I4">
        <v>2.3320333963418576</v>
      </c>
      <c r="J4" s="24">
        <v>2.3320333963418576</v>
      </c>
      <c r="K4">
        <v>2.3320333963418576</v>
      </c>
      <c r="L4">
        <v>2.3320333963418576</v>
      </c>
    </row>
    <row r="5" spans="1:12" x14ac:dyDescent="0.3">
      <c r="A5" t="s">
        <v>1951</v>
      </c>
      <c r="B5" t="s">
        <v>1770</v>
      </c>
      <c r="C5">
        <v>3</v>
      </c>
      <c r="D5">
        <v>20</v>
      </c>
      <c r="E5">
        <v>4</v>
      </c>
      <c r="F5">
        <v>3.9407000000000001</v>
      </c>
      <c r="G5">
        <v>3.968250290840007</v>
      </c>
      <c r="H5">
        <v>4.0228502900000001</v>
      </c>
      <c r="I5">
        <v>3.9682502908400066</v>
      </c>
      <c r="J5" s="24">
        <v>3.968250290840007</v>
      </c>
      <c r="K5">
        <v>3.9682502908400066</v>
      </c>
      <c r="L5">
        <v>3.968250290840007</v>
      </c>
    </row>
    <row r="6" spans="1:12" x14ac:dyDescent="0.3">
      <c r="A6" t="s">
        <v>1951</v>
      </c>
      <c r="B6" t="s">
        <v>1771</v>
      </c>
      <c r="C6">
        <v>3</v>
      </c>
      <c r="D6">
        <v>20</v>
      </c>
      <c r="E6">
        <v>5</v>
      </c>
      <c r="F6">
        <v>3.7930000000000001</v>
      </c>
      <c r="G6">
        <v>3.7929994136695395</v>
      </c>
      <c r="H6">
        <v>3.8937994100000002</v>
      </c>
      <c r="I6">
        <v>3.7953994136695393</v>
      </c>
      <c r="J6" s="24">
        <v>3.7929994136695395</v>
      </c>
      <c r="K6">
        <v>3.7929994136695404</v>
      </c>
      <c r="L6">
        <v>3.79299941366954</v>
      </c>
    </row>
    <row r="7" spans="1:12" x14ac:dyDescent="0.3">
      <c r="A7" t="s">
        <v>1951</v>
      </c>
      <c r="B7" t="s">
        <v>1772</v>
      </c>
      <c r="C7">
        <v>6</v>
      </c>
      <c r="D7">
        <v>40</v>
      </c>
      <c r="E7">
        <v>1</v>
      </c>
      <c r="F7">
        <v>39.719499999999996</v>
      </c>
      <c r="G7">
        <v>39.75575014615066</v>
      </c>
      <c r="H7">
        <v>55.931089980000003</v>
      </c>
      <c r="I7">
        <v>40.118458749796645</v>
      </c>
      <c r="J7" s="24">
        <v>39.75575014615066</v>
      </c>
      <c r="K7">
        <v>39.761758749796655</v>
      </c>
      <c r="L7">
        <v>39.833758749796658</v>
      </c>
    </row>
    <row r="8" spans="1:12" x14ac:dyDescent="0.3">
      <c r="A8" t="s">
        <v>1951</v>
      </c>
      <c r="B8" t="s">
        <v>1773</v>
      </c>
      <c r="C8">
        <v>6</v>
      </c>
      <c r="D8">
        <v>40</v>
      </c>
      <c r="E8">
        <v>2</v>
      </c>
      <c r="F8">
        <v>41.549799999999998</v>
      </c>
      <c r="G8">
        <v>41.555424227173049</v>
      </c>
      <c r="H8">
        <v>57.656505899999999</v>
      </c>
      <c r="I8">
        <v>41.898026514197895</v>
      </c>
      <c r="J8" s="24">
        <v>41.555424227173049</v>
      </c>
      <c r="K8">
        <v>41.555424227173049</v>
      </c>
      <c r="L8">
        <v>41.767224227173052</v>
      </c>
    </row>
    <row r="9" spans="1:12" x14ac:dyDescent="0.3">
      <c r="A9" t="s">
        <v>1951</v>
      </c>
      <c r="B9" t="s">
        <v>1774</v>
      </c>
      <c r="C9">
        <v>6</v>
      </c>
      <c r="D9">
        <v>40</v>
      </c>
      <c r="E9">
        <v>3</v>
      </c>
      <c r="F9">
        <v>19.729399999999998</v>
      </c>
      <c r="G9">
        <v>19.740402093227388</v>
      </c>
      <c r="H9">
        <v>20.29128236</v>
      </c>
      <c r="I9">
        <v>19.868326224054695</v>
      </c>
      <c r="J9" s="24">
        <v>19.740402093227388</v>
      </c>
      <c r="K9">
        <v>19.740402093227388</v>
      </c>
      <c r="L9">
        <v>19.858726224054692</v>
      </c>
    </row>
    <row r="10" spans="1:12" x14ac:dyDescent="0.3">
      <c r="A10" t="s">
        <v>1951</v>
      </c>
      <c r="B10" t="s">
        <v>1775</v>
      </c>
      <c r="C10">
        <v>6</v>
      </c>
      <c r="D10">
        <v>40</v>
      </c>
      <c r="E10">
        <v>4</v>
      </c>
      <c r="F10">
        <v>22.646599999999999</v>
      </c>
      <c r="G10">
        <v>22.758820843048195</v>
      </c>
      <c r="H10">
        <v>28.936699690000001</v>
      </c>
      <c r="I10">
        <v>23.117820147610626</v>
      </c>
      <c r="J10" s="24">
        <v>22.758820843048195</v>
      </c>
      <c r="K10">
        <v>22.758820843048206</v>
      </c>
      <c r="L10">
        <v>23.115855568532133</v>
      </c>
    </row>
    <row r="11" spans="1:12" x14ac:dyDescent="0.3">
      <c r="A11" t="s">
        <v>1951</v>
      </c>
      <c r="B11" t="s">
        <v>1776</v>
      </c>
      <c r="C11">
        <v>6</v>
      </c>
      <c r="D11">
        <v>40</v>
      </c>
      <c r="E11">
        <v>5</v>
      </c>
      <c r="F11">
        <v>33.917400000000001</v>
      </c>
      <c r="G11">
        <v>34.061136441961978</v>
      </c>
      <c r="H11">
        <v>47.283948359999997</v>
      </c>
      <c r="I11">
        <v>34.23259926627064</v>
      </c>
      <c r="J11" s="24">
        <v>34.061136441961978</v>
      </c>
      <c r="K11">
        <v>34.061136441961978</v>
      </c>
      <c r="L11">
        <v>34.167917464225027</v>
      </c>
    </row>
    <row r="12" spans="1:12" x14ac:dyDescent="0.3">
      <c r="A12" t="s">
        <v>1951</v>
      </c>
      <c r="B12" t="s">
        <v>1777</v>
      </c>
      <c r="C12">
        <v>9</v>
      </c>
      <c r="D12">
        <v>60</v>
      </c>
      <c r="E12">
        <v>1</v>
      </c>
      <c r="F12">
        <v>62</v>
      </c>
      <c r="G12">
        <v>1014.7879161034551</v>
      </c>
      <c r="H12">
        <v>122.67071694000001</v>
      </c>
      <c r="I12">
        <v>87.71120226777964</v>
      </c>
      <c r="J12" s="24">
        <v>122.67071694000001</v>
      </c>
      <c r="K12">
        <v>119.85564640508085</v>
      </c>
      <c r="L12">
        <v>87.977597793632953</v>
      </c>
    </row>
    <row r="13" spans="1:12" x14ac:dyDescent="0.3">
      <c r="A13" t="s">
        <v>1951</v>
      </c>
      <c r="B13" t="s">
        <v>1778</v>
      </c>
      <c r="C13">
        <v>9</v>
      </c>
      <c r="D13">
        <v>60</v>
      </c>
      <c r="E13">
        <v>2</v>
      </c>
      <c r="F13">
        <v>58.265500000000003</v>
      </c>
      <c r="G13">
        <v>95.557259588525312</v>
      </c>
      <c r="H13">
        <v>114.29318171</v>
      </c>
      <c r="I13">
        <v>75.236867826458607</v>
      </c>
      <c r="J13" s="24">
        <v>95.557259588525312</v>
      </c>
      <c r="K13">
        <v>79.130001975071039</v>
      </c>
      <c r="L13">
        <v>75.04042152786279</v>
      </c>
    </row>
    <row r="14" spans="1:12" x14ac:dyDescent="0.3">
      <c r="A14" t="s">
        <v>1951</v>
      </c>
      <c r="B14" t="s">
        <v>1779</v>
      </c>
      <c r="C14">
        <v>9</v>
      </c>
      <c r="D14">
        <v>60</v>
      </c>
      <c r="E14">
        <v>3</v>
      </c>
      <c r="F14">
        <v>54.973500000000001</v>
      </c>
      <c r="G14">
        <v>600.59706196367097</v>
      </c>
      <c r="H14">
        <v>116.93704515</v>
      </c>
      <c r="I14">
        <v>78.281067711821493</v>
      </c>
      <c r="J14" s="24">
        <v>116.93704515</v>
      </c>
      <c r="K14">
        <v>114.59645245371252</v>
      </c>
      <c r="L14">
        <v>85.580124037721163</v>
      </c>
    </row>
    <row r="15" spans="1:12" x14ac:dyDescent="0.3">
      <c r="A15" t="s">
        <v>1951</v>
      </c>
      <c r="B15" t="s">
        <v>1780</v>
      </c>
      <c r="C15">
        <v>9</v>
      </c>
      <c r="D15">
        <v>60</v>
      </c>
      <c r="E15">
        <v>4</v>
      </c>
      <c r="F15">
        <v>54.8902</v>
      </c>
      <c r="G15">
        <v>79.090030546070395</v>
      </c>
      <c r="H15">
        <v>126.72051441000001</v>
      </c>
      <c r="I15">
        <v>79.823886337707364</v>
      </c>
      <c r="J15" s="24">
        <v>79.090030546070395</v>
      </c>
      <c r="K15">
        <v>110.35665208980406</v>
      </c>
      <c r="L15">
        <v>82.049848009066338</v>
      </c>
    </row>
    <row r="16" spans="1:12" x14ac:dyDescent="0.3">
      <c r="A16" t="s">
        <v>1951</v>
      </c>
      <c r="B16" t="s">
        <v>1781</v>
      </c>
      <c r="C16">
        <v>9</v>
      </c>
      <c r="D16">
        <v>60</v>
      </c>
      <c r="E16">
        <v>5</v>
      </c>
      <c r="F16">
        <v>62.474899999999998</v>
      </c>
      <c r="G16">
        <v>62.581996299609401</v>
      </c>
      <c r="H16">
        <v>92.74421117</v>
      </c>
      <c r="I16">
        <v>63.492378102066596</v>
      </c>
      <c r="J16" s="24">
        <v>62.581996299609401</v>
      </c>
      <c r="K16">
        <v>67.93833028370095</v>
      </c>
      <c r="L16">
        <v>74.560326357414041</v>
      </c>
    </row>
    <row r="17" spans="1:12" x14ac:dyDescent="0.3">
      <c r="A17" t="s">
        <v>1951</v>
      </c>
      <c r="B17" t="s">
        <v>1782</v>
      </c>
      <c r="C17">
        <v>12</v>
      </c>
      <c r="D17">
        <v>80</v>
      </c>
      <c r="E17">
        <v>1</v>
      </c>
      <c r="F17">
        <v>73.251499999999993</v>
      </c>
      <c r="G17">
        <v>1779.0503180665351</v>
      </c>
      <c r="H17">
        <v>143.50523222999999</v>
      </c>
      <c r="I17">
        <v>96.057852332269405</v>
      </c>
      <c r="J17" s="24">
        <v>143.50523222999999</v>
      </c>
      <c r="K17">
        <v>139.8957524937764</v>
      </c>
      <c r="L17">
        <v>95.2872019031946</v>
      </c>
    </row>
    <row r="18" spans="1:12" x14ac:dyDescent="0.3">
      <c r="A18" t="s">
        <v>1951</v>
      </c>
      <c r="B18" t="s">
        <v>1783</v>
      </c>
      <c r="C18">
        <v>12</v>
      </c>
      <c r="D18">
        <v>80</v>
      </c>
      <c r="E18">
        <v>2</v>
      </c>
      <c r="F18">
        <v>75.9602</v>
      </c>
      <c r="G18">
        <v>1485.9867313469467</v>
      </c>
      <c r="H18">
        <v>136.68911327999999</v>
      </c>
      <c r="I18">
        <v>103.75426744136814</v>
      </c>
      <c r="J18" s="24">
        <v>136.68911327999999</v>
      </c>
      <c r="K18">
        <v>130.67448008437844</v>
      </c>
      <c r="L18">
        <v>107.79787016615427</v>
      </c>
    </row>
    <row r="19" spans="1:12" x14ac:dyDescent="0.3">
      <c r="A19" t="s">
        <v>1951</v>
      </c>
      <c r="B19" t="s">
        <v>1784</v>
      </c>
      <c r="C19">
        <v>12</v>
      </c>
      <c r="D19">
        <v>80</v>
      </c>
      <c r="E19">
        <v>3</v>
      </c>
      <c r="F19">
        <v>69.497699999999995</v>
      </c>
      <c r="G19">
        <v>1361.0478745513392</v>
      </c>
      <c r="H19">
        <v>143.75224972999999</v>
      </c>
      <c r="I19">
        <v>96.89826578643283</v>
      </c>
      <c r="J19" s="24">
        <v>143.75224972999999</v>
      </c>
      <c r="K19">
        <v>139.7686740833378</v>
      </c>
      <c r="L19">
        <v>100.47303179399104</v>
      </c>
    </row>
    <row r="20" spans="1:12" x14ac:dyDescent="0.3">
      <c r="A20" t="s">
        <v>1951</v>
      </c>
      <c r="B20" t="s">
        <v>1785</v>
      </c>
      <c r="C20">
        <v>12</v>
      </c>
      <c r="D20">
        <v>80</v>
      </c>
      <c r="E20">
        <v>4</v>
      </c>
      <c r="F20">
        <v>75.502700000000004</v>
      </c>
      <c r="G20">
        <v>1390.0675692228908</v>
      </c>
      <c r="H20">
        <v>159.07776181</v>
      </c>
      <c r="I20">
        <v>99.010361511311643</v>
      </c>
      <c r="J20" s="24">
        <v>159.07776181</v>
      </c>
      <c r="K20">
        <v>153.50249196774706</v>
      </c>
      <c r="L20">
        <v>108.49097012380952</v>
      </c>
    </row>
    <row r="21" spans="1:12" x14ac:dyDescent="0.3">
      <c r="A21" t="s">
        <v>1951</v>
      </c>
      <c r="B21" t="s">
        <v>1786</v>
      </c>
      <c r="C21">
        <v>12</v>
      </c>
      <c r="D21">
        <v>80</v>
      </c>
      <c r="E21">
        <v>5</v>
      </c>
      <c r="F21">
        <v>79.171099999999996</v>
      </c>
      <c r="G21">
        <v>1279.3915889633035</v>
      </c>
      <c r="H21">
        <v>155.03973479999999</v>
      </c>
      <c r="I21">
        <v>107.9504301020327</v>
      </c>
      <c r="J21" s="24">
        <v>155.03973479999999</v>
      </c>
      <c r="K21">
        <v>150.38724903240183</v>
      </c>
      <c r="L21">
        <v>120.55877081221855</v>
      </c>
    </row>
    <row r="22" spans="1:12" x14ac:dyDescent="0.3">
      <c r="A22" t="s">
        <v>1951</v>
      </c>
      <c r="B22" t="s">
        <v>1787</v>
      </c>
      <c r="C22">
        <v>15</v>
      </c>
      <c r="D22">
        <v>100</v>
      </c>
      <c r="E22">
        <v>1</v>
      </c>
      <c r="F22">
        <v>94.151300000000006</v>
      </c>
      <c r="G22">
        <v>1557.924887939429</v>
      </c>
      <c r="H22">
        <v>168.03982887999999</v>
      </c>
      <c r="I22">
        <v>112.44468498811091</v>
      </c>
      <c r="J22" s="24">
        <v>168.03982887999999</v>
      </c>
      <c r="K22">
        <v>161.43302259709776</v>
      </c>
      <c r="L22">
        <v>115.84930425941576</v>
      </c>
    </row>
    <row r="23" spans="1:12" x14ac:dyDescent="0.3">
      <c r="A23" t="s">
        <v>1951</v>
      </c>
      <c r="B23" t="s">
        <v>1788</v>
      </c>
      <c r="C23">
        <v>15</v>
      </c>
      <c r="D23">
        <v>100</v>
      </c>
      <c r="E23">
        <v>2</v>
      </c>
      <c r="F23">
        <v>98.319000000000003</v>
      </c>
      <c r="G23">
        <v>2042.2429125479177</v>
      </c>
      <c r="H23">
        <v>197.35531183000001</v>
      </c>
      <c r="I23">
        <v>136.135364351471</v>
      </c>
      <c r="J23" s="24">
        <v>197.35531183000001</v>
      </c>
      <c r="K23">
        <v>192.30465255029085</v>
      </c>
      <c r="L23">
        <v>140.0327761318037</v>
      </c>
    </row>
    <row r="24" spans="1:12" x14ac:dyDescent="0.3">
      <c r="A24" t="s">
        <v>1951</v>
      </c>
      <c r="B24" t="s">
        <v>1789</v>
      </c>
      <c r="C24">
        <v>15</v>
      </c>
      <c r="D24">
        <v>100</v>
      </c>
      <c r="E24">
        <v>3</v>
      </c>
      <c r="F24">
        <v>95.824399999999997</v>
      </c>
      <c r="G24">
        <v>2014.4736320687407</v>
      </c>
      <c r="H24">
        <v>156.32958883000001</v>
      </c>
      <c r="I24">
        <v>112.49228066462901</v>
      </c>
      <c r="J24" s="24">
        <v>156.32958883000001</v>
      </c>
      <c r="K24">
        <v>148.07209015376804</v>
      </c>
      <c r="L24">
        <v>116.44529368534347</v>
      </c>
    </row>
    <row r="25" spans="1:12" x14ac:dyDescent="0.3">
      <c r="A25" t="s">
        <v>1951</v>
      </c>
      <c r="B25" t="s">
        <v>1790</v>
      </c>
      <c r="C25">
        <v>15</v>
      </c>
      <c r="D25">
        <v>100</v>
      </c>
      <c r="E25">
        <v>4</v>
      </c>
      <c r="F25">
        <v>93.579400000000007</v>
      </c>
      <c r="G25">
        <v>1918.4566434140004</v>
      </c>
      <c r="H25">
        <v>180.29233119</v>
      </c>
      <c r="I25">
        <v>128.2387680792381</v>
      </c>
      <c r="J25" s="24">
        <v>180.29233119</v>
      </c>
      <c r="K25">
        <v>172.5957766878399</v>
      </c>
      <c r="L25">
        <v>133.51281268459496</v>
      </c>
    </row>
    <row r="26" spans="1:12" x14ac:dyDescent="0.3">
      <c r="A26" t="s">
        <v>1951</v>
      </c>
      <c r="B26" t="s">
        <v>1791</v>
      </c>
      <c r="C26">
        <v>15</v>
      </c>
      <c r="D26">
        <v>100</v>
      </c>
      <c r="E26">
        <v>5</v>
      </c>
      <c r="F26">
        <v>112.7895</v>
      </c>
      <c r="G26">
        <v>2296.9963547158604</v>
      </c>
      <c r="H26">
        <v>231.07773642000001</v>
      </c>
      <c r="I26">
        <v>164.89065281409654</v>
      </c>
      <c r="J26">
        <v>231.07773642000001</v>
      </c>
      <c r="K26">
        <v>221.23502350238041</v>
      </c>
      <c r="L26">
        <v>163.40759993350167</v>
      </c>
    </row>
    <row r="27" spans="1:12" x14ac:dyDescent="0.3">
      <c r="A27" t="s">
        <v>1951</v>
      </c>
      <c r="B27" t="s">
        <v>1792</v>
      </c>
      <c r="C27">
        <v>18</v>
      </c>
      <c r="D27">
        <v>120</v>
      </c>
      <c r="E27">
        <v>1</v>
      </c>
      <c r="F27">
        <v>147.82400000000001</v>
      </c>
      <c r="H27">
        <v>262.99802846</v>
      </c>
      <c r="I27">
        <v>183.37280830517034</v>
      </c>
      <c r="J27">
        <v>262.99802846</v>
      </c>
      <c r="K27">
        <v>254.51050153963263</v>
      </c>
      <c r="L27">
        <v>208.41107395894616</v>
      </c>
    </row>
    <row r="28" spans="1:12" x14ac:dyDescent="0.3">
      <c r="A28" t="s">
        <v>1951</v>
      </c>
      <c r="B28" t="s">
        <v>1793</v>
      </c>
      <c r="C28">
        <v>18</v>
      </c>
      <c r="D28">
        <v>120</v>
      </c>
      <c r="E28">
        <v>2</v>
      </c>
      <c r="F28">
        <v>136.91929999999999</v>
      </c>
      <c r="H28">
        <v>294.01645559000002</v>
      </c>
      <c r="I28">
        <v>196.21432586195203</v>
      </c>
      <c r="J28">
        <v>294.01645559000002</v>
      </c>
      <c r="K28">
        <v>285.9167621223346</v>
      </c>
      <c r="L28">
        <v>224.40392164510226</v>
      </c>
    </row>
    <row r="29" spans="1:12" x14ac:dyDescent="0.3">
      <c r="A29" t="s">
        <v>1951</v>
      </c>
      <c r="B29" t="s">
        <v>1794</v>
      </c>
      <c r="C29">
        <v>18</v>
      </c>
      <c r="D29">
        <v>120</v>
      </c>
      <c r="E29">
        <v>3</v>
      </c>
      <c r="F29">
        <v>158.2567</v>
      </c>
      <c r="H29">
        <v>326.96103498000002</v>
      </c>
      <c r="I29">
        <v>223.84969477670546</v>
      </c>
      <c r="J29">
        <v>326.96103498000002</v>
      </c>
      <c r="K29">
        <v>319.5934581953336</v>
      </c>
      <c r="L29">
        <v>240.12338346778881</v>
      </c>
    </row>
    <row r="30" spans="1:12" x14ac:dyDescent="0.3">
      <c r="A30" t="s">
        <v>1951</v>
      </c>
      <c r="B30" t="s">
        <v>1795</v>
      </c>
      <c r="C30">
        <v>18</v>
      </c>
      <c r="D30">
        <v>120</v>
      </c>
      <c r="E30">
        <v>4</v>
      </c>
      <c r="F30">
        <v>126.3252</v>
      </c>
      <c r="H30">
        <v>220.33714198000001</v>
      </c>
      <c r="I30">
        <v>169.21303561650905</v>
      </c>
      <c r="J30">
        <v>220.33714198000001</v>
      </c>
      <c r="K30">
        <v>212.9445392611463</v>
      </c>
      <c r="L30">
        <v>173.48320515526152</v>
      </c>
    </row>
    <row r="31" spans="1:12" x14ac:dyDescent="0.3">
      <c r="A31" t="s">
        <v>1951</v>
      </c>
      <c r="B31" t="s">
        <v>1796</v>
      </c>
      <c r="C31">
        <v>18</v>
      </c>
      <c r="D31">
        <v>120</v>
      </c>
      <c r="E31">
        <v>5</v>
      </c>
      <c r="F31">
        <v>152.2621</v>
      </c>
      <c r="H31">
        <v>225.72616502</v>
      </c>
      <c r="I31">
        <v>173.0849769117732</v>
      </c>
      <c r="J31">
        <v>225.72616502</v>
      </c>
      <c r="K31">
        <v>219.92113333375823</v>
      </c>
      <c r="L31">
        <v>192.09103257221071</v>
      </c>
    </row>
    <row r="32" spans="1:12" x14ac:dyDescent="0.3">
      <c r="A32" t="s">
        <v>1951</v>
      </c>
      <c r="B32" t="s">
        <v>1928</v>
      </c>
      <c r="C32">
        <v>21</v>
      </c>
      <c r="D32">
        <v>140</v>
      </c>
      <c r="E32">
        <v>1</v>
      </c>
      <c r="F32">
        <v>176.0343</v>
      </c>
      <c r="H32">
        <v>328.47559343</v>
      </c>
      <c r="I32">
        <v>236.63191595111198</v>
      </c>
      <c r="J32">
        <v>328.47559343</v>
      </c>
      <c r="K32">
        <v>318.70549796758218</v>
      </c>
      <c r="L32">
        <v>234.79065086874689</v>
      </c>
    </row>
    <row r="33" spans="1:12" x14ac:dyDescent="0.3">
      <c r="A33" t="s">
        <v>1951</v>
      </c>
      <c r="B33" t="s">
        <v>1930</v>
      </c>
      <c r="C33">
        <v>21</v>
      </c>
      <c r="D33">
        <v>140</v>
      </c>
      <c r="E33">
        <v>2</v>
      </c>
      <c r="F33">
        <v>183.5258</v>
      </c>
      <c r="H33">
        <v>289.34769091999999</v>
      </c>
      <c r="I33">
        <v>231.00597352899155</v>
      </c>
      <c r="J33">
        <v>289.34769091999999</v>
      </c>
      <c r="K33">
        <v>279.65524240683482</v>
      </c>
      <c r="L33">
        <v>244.25921840916709</v>
      </c>
    </row>
    <row r="34" spans="1:12" x14ac:dyDescent="0.3">
      <c r="A34" t="s">
        <v>1951</v>
      </c>
      <c r="B34" t="s">
        <v>1931</v>
      </c>
      <c r="C34">
        <v>21</v>
      </c>
      <c r="D34">
        <v>140</v>
      </c>
      <c r="E34">
        <v>3</v>
      </c>
      <c r="F34">
        <v>181.18029999999999</v>
      </c>
      <c r="H34">
        <v>300.82812514</v>
      </c>
      <c r="I34">
        <v>215.70167840998442</v>
      </c>
      <c r="J34">
        <v>300.82812514</v>
      </c>
      <c r="K34">
        <v>285.74842402040076</v>
      </c>
      <c r="L34">
        <v>251.42483025348082</v>
      </c>
    </row>
    <row r="35" spans="1:12" x14ac:dyDescent="0.3">
      <c r="A35" t="s">
        <v>1951</v>
      </c>
      <c r="B35" t="s">
        <v>1932</v>
      </c>
      <c r="C35">
        <v>21</v>
      </c>
      <c r="D35">
        <v>140</v>
      </c>
      <c r="E35">
        <v>4</v>
      </c>
      <c r="F35">
        <v>165.22489999999999</v>
      </c>
      <c r="H35">
        <v>324.9742928</v>
      </c>
      <c r="I35">
        <v>238.23601578303894</v>
      </c>
      <c r="J35">
        <v>324.9742928</v>
      </c>
      <c r="K35">
        <v>318.2916898814089</v>
      </c>
      <c r="L35">
        <v>267.88404015401363</v>
      </c>
    </row>
    <row r="36" spans="1:12" x14ac:dyDescent="0.3">
      <c r="A36" t="s">
        <v>1951</v>
      </c>
      <c r="B36" t="s">
        <v>1933</v>
      </c>
      <c r="C36">
        <v>21</v>
      </c>
      <c r="D36">
        <v>140</v>
      </c>
      <c r="E36">
        <v>5</v>
      </c>
      <c r="F36">
        <v>170.88409999999999</v>
      </c>
      <c r="H36">
        <v>319.5957075</v>
      </c>
      <c r="I36">
        <v>233.85783856868341</v>
      </c>
      <c r="J36">
        <v>319.5957075</v>
      </c>
      <c r="K36">
        <v>312.57751287446854</v>
      </c>
      <c r="L36">
        <v>251.61806220526543</v>
      </c>
    </row>
    <row r="37" spans="1:12" x14ac:dyDescent="0.3">
      <c r="A37" t="s">
        <v>1951</v>
      </c>
      <c r="B37" t="s">
        <v>1797</v>
      </c>
      <c r="C37">
        <v>24</v>
      </c>
      <c r="D37">
        <v>160</v>
      </c>
      <c r="E37">
        <v>1</v>
      </c>
      <c r="F37">
        <v>197.2148</v>
      </c>
      <c r="H37">
        <v>335.33493076000002</v>
      </c>
      <c r="I37">
        <v>258.54453833859736</v>
      </c>
      <c r="J37">
        <v>335.33493076000002</v>
      </c>
      <c r="K37">
        <v>324.79169230152337</v>
      </c>
      <c r="L37">
        <v>288.24939645475501</v>
      </c>
    </row>
    <row r="38" spans="1:12" x14ac:dyDescent="0.3">
      <c r="A38" t="s">
        <v>1951</v>
      </c>
      <c r="B38" t="s">
        <v>1798</v>
      </c>
      <c r="C38">
        <v>24</v>
      </c>
      <c r="D38">
        <v>160</v>
      </c>
      <c r="E38">
        <v>2</v>
      </c>
      <c r="F38">
        <v>210.30590000000001</v>
      </c>
      <c r="H38">
        <v>346.54478344</v>
      </c>
      <c r="I38">
        <v>265.61777859962569</v>
      </c>
      <c r="J38">
        <v>346.54478344</v>
      </c>
      <c r="K38">
        <v>338.10142246124013</v>
      </c>
      <c r="L38">
        <v>292.07670099049051</v>
      </c>
    </row>
    <row r="39" spans="1:12" x14ac:dyDescent="0.3">
      <c r="A39" t="s">
        <v>1951</v>
      </c>
      <c r="B39" t="s">
        <v>1799</v>
      </c>
      <c r="C39">
        <v>24</v>
      </c>
      <c r="D39">
        <v>160</v>
      </c>
      <c r="E39">
        <v>3</v>
      </c>
      <c r="F39">
        <v>200.89769999999999</v>
      </c>
      <c r="H39">
        <v>347.01160298999997</v>
      </c>
      <c r="I39">
        <v>252.60528065743807</v>
      </c>
      <c r="J39">
        <v>347.01160298999997</v>
      </c>
      <c r="K39">
        <v>337.54761531325056</v>
      </c>
      <c r="L39">
        <v>322.45315191368309</v>
      </c>
    </row>
    <row r="40" spans="1:12" x14ac:dyDescent="0.3">
      <c r="A40" t="s">
        <v>1951</v>
      </c>
      <c r="B40" t="s">
        <v>1800</v>
      </c>
      <c r="C40">
        <v>24</v>
      </c>
      <c r="D40">
        <v>160</v>
      </c>
      <c r="E40">
        <v>4</v>
      </c>
      <c r="F40">
        <v>215.86070000000001</v>
      </c>
      <c r="H40">
        <v>348.67897973999999</v>
      </c>
      <c r="I40">
        <v>280.69345257135177</v>
      </c>
      <c r="J40">
        <v>348.67897973999999</v>
      </c>
      <c r="K40">
        <v>336.4004596942421</v>
      </c>
      <c r="L40">
        <v>293.32710989082091</v>
      </c>
    </row>
    <row r="41" spans="1:12" x14ac:dyDescent="0.3">
      <c r="A41" t="s">
        <v>1951</v>
      </c>
      <c r="B41" t="s">
        <v>1801</v>
      </c>
      <c r="C41">
        <v>24</v>
      </c>
      <c r="D41">
        <v>160</v>
      </c>
      <c r="E41">
        <v>5</v>
      </c>
      <c r="H41">
        <v>396.54088689999998</v>
      </c>
      <c r="I41">
        <v>295.91031548807416</v>
      </c>
      <c r="J41">
        <v>396.54088689999998</v>
      </c>
      <c r="K41">
        <v>386.31896932749197</v>
      </c>
      <c r="L41">
        <v>337.10442587511358</v>
      </c>
    </row>
    <row r="42" spans="1:12" x14ac:dyDescent="0.3">
      <c r="A42" t="s">
        <v>1951</v>
      </c>
      <c r="B42" t="s">
        <v>1934</v>
      </c>
      <c r="C42">
        <v>27</v>
      </c>
      <c r="D42">
        <v>180</v>
      </c>
      <c r="E42">
        <v>1</v>
      </c>
      <c r="F42">
        <v>267.83370000000002</v>
      </c>
      <c r="H42">
        <v>387.93392333999998</v>
      </c>
      <c r="I42">
        <v>328.88488801142933</v>
      </c>
      <c r="J42">
        <v>387.93392333999998</v>
      </c>
      <c r="K42">
        <v>378.92400822640354</v>
      </c>
      <c r="L42">
        <v>352.58550772426787</v>
      </c>
    </row>
    <row r="43" spans="1:12" x14ac:dyDescent="0.3">
      <c r="A43" t="s">
        <v>1951</v>
      </c>
      <c r="B43" t="s">
        <v>1936</v>
      </c>
      <c r="C43">
        <v>27</v>
      </c>
      <c r="D43">
        <v>180</v>
      </c>
      <c r="E43">
        <v>2</v>
      </c>
      <c r="F43">
        <v>287.98559999999998</v>
      </c>
      <c r="H43">
        <v>484.42109742999997</v>
      </c>
      <c r="I43">
        <v>388.12634309343548</v>
      </c>
      <c r="J43">
        <v>484.42109742999997</v>
      </c>
      <c r="K43">
        <v>475.87326664797172</v>
      </c>
      <c r="L43">
        <v>434.44476397121673</v>
      </c>
    </row>
    <row r="44" spans="1:12" x14ac:dyDescent="0.3">
      <c r="A44" t="s">
        <v>1951</v>
      </c>
      <c r="B44" t="s">
        <v>1937</v>
      </c>
      <c r="C44">
        <v>27</v>
      </c>
      <c r="D44">
        <v>180</v>
      </c>
      <c r="E44">
        <v>3</v>
      </c>
      <c r="F44">
        <v>275.36169999999998</v>
      </c>
      <c r="H44">
        <v>457.25276130999998</v>
      </c>
      <c r="I44">
        <v>370.57175348148411</v>
      </c>
      <c r="J44">
        <v>457.25276130999998</v>
      </c>
      <c r="K44">
        <v>447.36652871115837</v>
      </c>
      <c r="L44">
        <v>439.33158638710199</v>
      </c>
    </row>
    <row r="45" spans="1:12" x14ac:dyDescent="0.3">
      <c r="A45" t="s">
        <v>1951</v>
      </c>
      <c r="B45" t="s">
        <v>1938</v>
      </c>
      <c r="C45">
        <v>27</v>
      </c>
      <c r="D45">
        <v>180</v>
      </c>
      <c r="E45">
        <v>4</v>
      </c>
      <c r="F45">
        <v>259.3408</v>
      </c>
      <c r="H45">
        <v>419.09047784000001</v>
      </c>
      <c r="I45">
        <v>325.84439678275163</v>
      </c>
      <c r="J45">
        <v>419.09047784000001</v>
      </c>
      <c r="K45">
        <v>408.26767612516005</v>
      </c>
      <c r="L45">
        <v>379.86534804127837</v>
      </c>
    </row>
    <row r="46" spans="1:12" x14ac:dyDescent="0.3">
      <c r="A46" t="s">
        <v>1951</v>
      </c>
      <c r="B46" t="s">
        <v>1939</v>
      </c>
      <c r="C46">
        <v>27</v>
      </c>
      <c r="D46">
        <v>180</v>
      </c>
      <c r="E46">
        <v>5</v>
      </c>
      <c r="F46">
        <v>216.4254</v>
      </c>
      <c r="H46">
        <v>404.35979653999999</v>
      </c>
      <c r="I46">
        <v>283.65999110412207</v>
      </c>
      <c r="J46">
        <v>404.35979653999999</v>
      </c>
      <c r="K46">
        <v>397.39577738440704</v>
      </c>
      <c r="L46">
        <v>293.56109496872045</v>
      </c>
    </row>
    <row r="47" spans="1:12" x14ac:dyDescent="0.3">
      <c r="A47" t="s">
        <v>1951</v>
      </c>
      <c r="B47" t="s">
        <v>1802</v>
      </c>
      <c r="C47">
        <v>30</v>
      </c>
      <c r="D47">
        <v>200</v>
      </c>
      <c r="E47">
        <v>1</v>
      </c>
      <c r="F47">
        <v>308.32679999999999</v>
      </c>
      <c r="H47">
        <v>512.01876425</v>
      </c>
      <c r="I47">
        <v>396.1062298661318</v>
      </c>
      <c r="J47">
        <v>512.01876425</v>
      </c>
      <c r="K47">
        <v>512.01876424889235</v>
      </c>
      <c r="L47">
        <v>470.00850554313564</v>
      </c>
    </row>
    <row r="48" spans="1:12" x14ac:dyDescent="0.3">
      <c r="A48" t="s">
        <v>1951</v>
      </c>
      <c r="B48" t="s">
        <v>1803</v>
      </c>
      <c r="C48">
        <v>30</v>
      </c>
      <c r="D48">
        <v>200</v>
      </c>
      <c r="E48">
        <v>2</v>
      </c>
      <c r="F48">
        <v>276.31970000000001</v>
      </c>
      <c r="H48">
        <v>505.60775784999998</v>
      </c>
      <c r="I48">
        <v>372.2120198442268</v>
      </c>
      <c r="J48">
        <v>505.60775784999998</v>
      </c>
      <c r="K48">
        <v>493.06308198393799</v>
      </c>
      <c r="L48">
        <v>467.25810398684257</v>
      </c>
    </row>
    <row r="49" spans="1:12" x14ac:dyDescent="0.3">
      <c r="A49" t="s">
        <v>1951</v>
      </c>
      <c r="B49" t="s">
        <v>1804</v>
      </c>
      <c r="C49">
        <v>30</v>
      </c>
      <c r="D49">
        <v>200</v>
      </c>
      <c r="E49">
        <v>3</v>
      </c>
      <c r="F49">
        <v>302.69369999999998</v>
      </c>
      <c r="H49">
        <v>485.95009041999998</v>
      </c>
      <c r="I49">
        <v>380.47026685783743</v>
      </c>
      <c r="J49">
        <v>485.95009041999998</v>
      </c>
      <c r="K49">
        <v>462.66549612787236</v>
      </c>
      <c r="L49">
        <v>396.84192610446109</v>
      </c>
    </row>
    <row r="50" spans="1:12" x14ac:dyDescent="0.3">
      <c r="A50" t="s">
        <v>1951</v>
      </c>
      <c r="B50" t="s">
        <v>1805</v>
      </c>
      <c r="C50">
        <v>30</v>
      </c>
      <c r="D50">
        <v>200</v>
      </c>
      <c r="E50">
        <v>4</v>
      </c>
      <c r="F50">
        <v>288.69060000000002</v>
      </c>
      <c r="H50">
        <v>459.95525519</v>
      </c>
      <c r="I50">
        <v>355.96800589413823</v>
      </c>
      <c r="J50">
        <v>459.95525519</v>
      </c>
      <c r="K50">
        <v>452.15871014547923</v>
      </c>
      <c r="L50">
        <v>429.10312486738792</v>
      </c>
    </row>
    <row r="51" spans="1:12" x14ac:dyDescent="0.3">
      <c r="A51" t="s">
        <v>1951</v>
      </c>
      <c r="B51" t="s">
        <v>1806</v>
      </c>
      <c r="C51">
        <v>30</v>
      </c>
      <c r="D51">
        <v>200</v>
      </c>
      <c r="E51">
        <v>5</v>
      </c>
      <c r="F51">
        <v>289.44619999999998</v>
      </c>
      <c r="H51">
        <v>496.29280845</v>
      </c>
      <c r="I51">
        <v>353.14750299095687</v>
      </c>
      <c r="J51">
        <v>496.29280845</v>
      </c>
      <c r="K51">
        <v>487.9726660085289</v>
      </c>
      <c r="L51">
        <v>393.01949209820719</v>
      </c>
    </row>
    <row r="52" spans="1:12" x14ac:dyDescent="0.3">
      <c r="A52" t="s">
        <v>1952</v>
      </c>
      <c r="B52" t="s">
        <v>1772</v>
      </c>
      <c r="C52">
        <v>6</v>
      </c>
      <c r="D52">
        <v>40</v>
      </c>
      <c r="E52">
        <v>1</v>
      </c>
      <c r="F52">
        <v>131.54249999999999</v>
      </c>
      <c r="G52">
        <v>3871.6275880056887</v>
      </c>
      <c r="H52">
        <v>323.61072381999998</v>
      </c>
      <c r="I52">
        <v>225.10988662137976</v>
      </c>
      <c r="J52">
        <v>323.61072381999998</v>
      </c>
      <c r="K52">
        <v>319.53606947777735</v>
      </c>
      <c r="L52">
        <v>236.92127413431751</v>
      </c>
    </row>
    <row r="53" spans="1:12" x14ac:dyDescent="0.3">
      <c r="A53" t="s">
        <v>1952</v>
      </c>
      <c r="B53" t="s">
        <v>1773</v>
      </c>
      <c r="C53">
        <v>6</v>
      </c>
      <c r="D53">
        <v>40</v>
      </c>
      <c r="E53">
        <v>2</v>
      </c>
      <c r="F53">
        <v>151.0796</v>
      </c>
      <c r="G53">
        <v>300.12227220326088</v>
      </c>
      <c r="H53">
        <v>338.56669997</v>
      </c>
      <c r="I53">
        <v>238.98936419206723</v>
      </c>
      <c r="J53">
        <v>300.12227220326088</v>
      </c>
      <c r="K53">
        <v>331.50048436174211</v>
      </c>
      <c r="L53">
        <v>241.10929739884776</v>
      </c>
    </row>
    <row r="54" spans="1:12" x14ac:dyDescent="0.3">
      <c r="A54" t="s">
        <v>1952</v>
      </c>
      <c r="B54" t="s">
        <v>1774</v>
      </c>
      <c r="C54">
        <v>6</v>
      </c>
      <c r="D54">
        <v>40</v>
      </c>
      <c r="E54">
        <v>3</v>
      </c>
      <c r="F54">
        <v>103.3734</v>
      </c>
      <c r="G54">
        <v>119.32010848375801</v>
      </c>
      <c r="H54">
        <v>165.01941228999999</v>
      </c>
      <c r="I54">
        <v>123.24506749593867</v>
      </c>
      <c r="J54">
        <v>119.32010848375801</v>
      </c>
      <c r="K54">
        <v>162.12217431841853</v>
      </c>
      <c r="L54">
        <v>123.11756293151566</v>
      </c>
    </row>
    <row r="55" spans="1:12" x14ac:dyDescent="0.3">
      <c r="A55" t="s">
        <v>1952</v>
      </c>
      <c r="B55" t="s">
        <v>1775</v>
      </c>
      <c r="C55">
        <v>6</v>
      </c>
      <c r="D55">
        <v>40</v>
      </c>
      <c r="E55">
        <v>4</v>
      </c>
      <c r="F55">
        <v>114.03449999999999</v>
      </c>
      <c r="G55">
        <v>123.83911959795853</v>
      </c>
      <c r="H55">
        <v>147.71197531999999</v>
      </c>
      <c r="I55">
        <v>127.98914761587699</v>
      </c>
      <c r="J55">
        <v>123.83911959795853</v>
      </c>
      <c r="K55">
        <v>143.49692738316031</v>
      </c>
      <c r="L55">
        <v>128.742257434697</v>
      </c>
    </row>
    <row r="56" spans="1:12" x14ac:dyDescent="0.3">
      <c r="A56" t="s">
        <v>1952</v>
      </c>
      <c r="B56" t="s">
        <v>1776</v>
      </c>
      <c r="C56">
        <v>6</v>
      </c>
      <c r="D56">
        <v>40</v>
      </c>
      <c r="E56">
        <v>5</v>
      </c>
      <c r="F56">
        <v>145.7363</v>
      </c>
      <c r="G56">
        <v>3862.8415668764387</v>
      </c>
      <c r="H56">
        <v>307.55923868999997</v>
      </c>
      <c r="I56">
        <v>216.13564150369564</v>
      </c>
      <c r="J56">
        <v>307.55923868999997</v>
      </c>
      <c r="K56">
        <v>301.28076674069325</v>
      </c>
      <c r="L56">
        <v>216.38221847062465</v>
      </c>
    </row>
    <row r="57" spans="1:12" x14ac:dyDescent="0.3">
      <c r="A57" t="s">
        <v>1952</v>
      </c>
      <c r="B57" t="s">
        <v>1782</v>
      </c>
      <c r="C57">
        <v>12</v>
      </c>
      <c r="D57">
        <v>80</v>
      </c>
      <c r="E57">
        <v>1</v>
      </c>
      <c r="F57">
        <v>376.39120000000003</v>
      </c>
      <c r="H57">
        <v>669.02320264000002</v>
      </c>
      <c r="I57">
        <v>525.2524278292135</v>
      </c>
      <c r="J57">
        <v>669.02320264000002</v>
      </c>
      <c r="K57">
        <v>669.02320263829938</v>
      </c>
      <c r="L57">
        <v>617.15626248967908</v>
      </c>
    </row>
    <row r="58" spans="1:12" x14ac:dyDescent="0.3">
      <c r="A58" t="s">
        <v>1952</v>
      </c>
      <c r="B58" t="s">
        <v>1783</v>
      </c>
      <c r="C58">
        <v>12</v>
      </c>
      <c r="D58">
        <v>80</v>
      </c>
      <c r="E58">
        <v>2</v>
      </c>
      <c r="F58">
        <v>379.10109999999997</v>
      </c>
      <c r="H58">
        <v>875.64707764000002</v>
      </c>
      <c r="I58">
        <v>630.57472931700363</v>
      </c>
      <c r="J58">
        <v>875.64707764000002</v>
      </c>
      <c r="K58">
        <v>875.64707763803267</v>
      </c>
      <c r="L58">
        <v>714.88367914656374</v>
      </c>
    </row>
    <row r="59" spans="1:12" x14ac:dyDescent="0.3">
      <c r="A59" t="s">
        <v>1952</v>
      </c>
      <c r="B59" t="s">
        <v>1784</v>
      </c>
      <c r="C59">
        <v>12</v>
      </c>
      <c r="D59">
        <v>80</v>
      </c>
      <c r="E59">
        <v>3</v>
      </c>
      <c r="F59">
        <v>358.22</v>
      </c>
      <c r="H59">
        <v>615.18325637999999</v>
      </c>
      <c r="I59">
        <v>469.27501128934068</v>
      </c>
      <c r="J59">
        <v>615.18325637999999</v>
      </c>
      <c r="K59">
        <v>615.18325638420697</v>
      </c>
      <c r="L59">
        <v>528.17197590094327</v>
      </c>
    </row>
    <row r="60" spans="1:12" x14ac:dyDescent="0.3">
      <c r="A60" t="s">
        <v>1952</v>
      </c>
      <c r="B60" t="s">
        <v>1785</v>
      </c>
      <c r="C60">
        <v>12</v>
      </c>
      <c r="D60">
        <v>80</v>
      </c>
      <c r="E60">
        <v>4</v>
      </c>
      <c r="F60">
        <v>390.29390000000001</v>
      </c>
      <c r="H60">
        <v>872.76363796999999</v>
      </c>
      <c r="I60">
        <v>677.61251058916673</v>
      </c>
      <c r="J60">
        <v>872.76363796999999</v>
      </c>
      <c r="K60">
        <v>872.76363796921987</v>
      </c>
      <c r="L60">
        <v>751.40585432762532</v>
      </c>
    </row>
    <row r="61" spans="1:12" x14ac:dyDescent="0.3">
      <c r="A61" t="s">
        <v>1952</v>
      </c>
      <c r="B61" t="s">
        <v>1786</v>
      </c>
      <c r="C61">
        <v>12</v>
      </c>
      <c r="D61">
        <v>80</v>
      </c>
      <c r="E61">
        <v>5</v>
      </c>
      <c r="F61">
        <v>361.71280000000002</v>
      </c>
      <c r="H61">
        <v>673.31434578000005</v>
      </c>
      <c r="I61">
        <v>533.85078008975802</v>
      </c>
      <c r="J61">
        <v>673.31434578000005</v>
      </c>
      <c r="K61">
        <v>673.31434578204039</v>
      </c>
      <c r="L61">
        <v>601.77079650144526</v>
      </c>
    </row>
    <row r="62" spans="1:12" x14ac:dyDescent="0.3">
      <c r="A62" t="s">
        <v>1952</v>
      </c>
      <c r="B62" t="s">
        <v>1792</v>
      </c>
      <c r="C62">
        <v>18</v>
      </c>
      <c r="D62">
        <v>120</v>
      </c>
      <c r="E62">
        <v>1</v>
      </c>
      <c r="H62">
        <v>1208.5581307499999</v>
      </c>
      <c r="I62">
        <v>1208.5581307509215</v>
      </c>
      <c r="J62">
        <v>1208.5581307499999</v>
      </c>
      <c r="K62">
        <v>1208.5581307509215</v>
      </c>
      <c r="L62">
        <v>1208.5581307509215</v>
      </c>
    </row>
    <row r="63" spans="1:12" x14ac:dyDescent="0.3">
      <c r="A63" t="s">
        <v>1952</v>
      </c>
      <c r="B63" t="s">
        <v>1793</v>
      </c>
      <c r="C63">
        <v>18</v>
      </c>
      <c r="D63">
        <v>120</v>
      </c>
      <c r="E63">
        <v>2</v>
      </c>
      <c r="H63">
        <v>1375.20956692</v>
      </c>
      <c r="I63">
        <v>1186.7271707572488</v>
      </c>
      <c r="J63">
        <v>1375.20956692</v>
      </c>
      <c r="K63">
        <v>1375.2095669217042</v>
      </c>
      <c r="L63">
        <v>1343.8725247922441</v>
      </c>
    </row>
    <row r="64" spans="1:12" x14ac:dyDescent="0.3">
      <c r="A64" t="s">
        <v>1952</v>
      </c>
      <c r="B64" t="s">
        <v>1794</v>
      </c>
      <c r="C64">
        <v>18</v>
      </c>
      <c r="D64">
        <v>120</v>
      </c>
      <c r="E64">
        <v>3</v>
      </c>
      <c r="H64">
        <v>1203.52692695</v>
      </c>
      <c r="I64">
        <v>1031.6821416486048</v>
      </c>
      <c r="J64">
        <v>1203.52692695</v>
      </c>
      <c r="K64">
        <v>1203.5269269478968</v>
      </c>
      <c r="L64">
        <v>1179.3138144186501</v>
      </c>
    </row>
    <row r="65" spans="1:12" x14ac:dyDescent="0.3">
      <c r="A65" t="s">
        <v>1952</v>
      </c>
      <c r="B65" t="s">
        <v>1795</v>
      </c>
      <c r="C65">
        <v>18</v>
      </c>
      <c r="D65">
        <v>120</v>
      </c>
      <c r="E65">
        <v>4</v>
      </c>
      <c r="H65">
        <v>1255.0435796500001</v>
      </c>
      <c r="I65">
        <v>1103.9327734666153</v>
      </c>
      <c r="J65">
        <v>1255.0435796500001</v>
      </c>
      <c r="K65">
        <v>1255.0435796468382</v>
      </c>
      <c r="L65">
        <v>1204.6246490867941</v>
      </c>
    </row>
    <row r="66" spans="1:12" x14ac:dyDescent="0.3">
      <c r="A66" t="s">
        <v>1952</v>
      </c>
      <c r="B66" t="s">
        <v>1796</v>
      </c>
      <c r="C66">
        <v>18</v>
      </c>
      <c r="D66">
        <v>120</v>
      </c>
      <c r="E66">
        <v>5</v>
      </c>
      <c r="H66">
        <v>1298.8821658300001</v>
      </c>
      <c r="I66">
        <v>1192.9265569658357</v>
      </c>
      <c r="J66">
        <v>1298.8821658300001</v>
      </c>
      <c r="K66">
        <v>1298.8821658264528</v>
      </c>
      <c r="L66">
        <v>1279.1086280841514</v>
      </c>
    </row>
    <row r="67" spans="1:12" x14ac:dyDescent="0.3">
      <c r="A67" t="s">
        <v>1952</v>
      </c>
      <c r="B67" t="s">
        <v>1797</v>
      </c>
      <c r="C67">
        <v>24</v>
      </c>
      <c r="D67">
        <v>160</v>
      </c>
      <c r="E67">
        <v>1</v>
      </c>
      <c r="H67">
        <v>1877.11863879</v>
      </c>
      <c r="I67">
        <v>1811.8662396472282</v>
      </c>
      <c r="J67">
        <v>1877.11863879</v>
      </c>
      <c r="K67">
        <v>1877.1186387918679</v>
      </c>
      <c r="L67">
        <v>1876.6927050365066</v>
      </c>
    </row>
    <row r="68" spans="1:12" x14ac:dyDescent="0.3">
      <c r="A68" t="s">
        <v>1952</v>
      </c>
      <c r="B68" t="s">
        <v>1798</v>
      </c>
      <c r="C68">
        <v>24</v>
      </c>
      <c r="D68">
        <v>160</v>
      </c>
      <c r="E68">
        <v>2</v>
      </c>
      <c r="H68">
        <v>1767.60533108</v>
      </c>
      <c r="I68">
        <v>1699.0113713965643</v>
      </c>
      <c r="J68">
        <v>1767.60533108</v>
      </c>
      <c r="K68">
        <v>1767.6053310804286</v>
      </c>
      <c r="L68">
        <v>1758.836151631021</v>
      </c>
    </row>
    <row r="69" spans="1:12" x14ac:dyDescent="0.3">
      <c r="A69" t="s">
        <v>1952</v>
      </c>
      <c r="B69" t="s">
        <v>1799</v>
      </c>
      <c r="C69">
        <v>24</v>
      </c>
      <c r="D69">
        <v>160</v>
      </c>
      <c r="E69">
        <v>3</v>
      </c>
      <c r="H69">
        <v>1769.4187633500001</v>
      </c>
      <c r="I69">
        <v>1697.601469307665</v>
      </c>
      <c r="J69">
        <v>1769.4187633500001</v>
      </c>
      <c r="K69">
        <v>1769.4187633508227</v>
      </c>
      <c r="L69">
        <v>1760.3597205377405</v>
      </c>
    </row>
    <row r="70" spans="1:12" x14ac:dyDescent="0.3">
      <c r="A70" t="s">
        <v>1952</v>
      </c>
      <c r="B70" t="s">
        <v>1800</v>
      </c>
      <c r="C70">
        <v>24</v>
      </c>
      <c r="D70">
        <v>160</v>
      </c>
      <c r="E70">
        <v>4</v>
      </c>
      <c r="H70">
        <v>1810.7983752</v>
      </c>
      <c r="I70">
        <v>1617.1771751392848</v>
      </c>
      <c r="J70">
        <v>1810.7983752</v>
      </c>
      <c r="K70">
        <v>1810.7983751956524</v>
      </c>
      <c r="L70">
        <v>1784.420821272503</v>
      </c>
    </row>
    <row r="71" spans="1:12" x14ac:dyDescent="0.3">
      <c r="A71" t="s">
        <v>1952</v>
      </c>
      <c r="B71" t="s">
        <v>1801</v>
      </c>
      <c r="C71">
        <v>24</v>
      </c>
      <c r="D71">
        <v>160</v>
      </c>
      <c r="E71">
        <v>5</v>
      </c>
      <c r="H71">
        <v>1916.54900888</v>
      </c>
      <c r="I71">
        <v>1837.4136781124437</v>
      </c>
      <c r="J71">
        <v>1916.54900888</v>
      </c>
      <c r="K71">
        <v>1916.5490088828678</v>
      </c>
      <c r="L71">
        <v>1910.9345525690005</v>
      </c>
    </row>
    <row r="72" spans="1:12" x14ac:dyDescent="0.3">
      <c r="A72" t="s">
        <v>1952</v>
      </c>
      <c r="B72" t="s">
        <v>1802</v>
      </c>
      <c r="C72">
        <v>30</v>
      </c>
      <c r="D72">
        <v>200</v>
      </c>
      <c r="E72">
        <v>1</v>
      </c>
      <c r="H72">
        <v>2628.27781671</v>
      </c>
      <c r="I72">
        <v>2530.4166491521605</v>
      </c>
      <c r="J72">
        <v>2628.27781671</v>
      </c>
      <c r="K72">
        <v>2628.2778167134284</v>
      </c>
      <c r="L72">
        <v>2624.2877471526199</v>
      </c>
    </row>
    <row r="73" spans="1:12" x14ac:dyDescent="0.3">
      <c r="A73" t="s">
        <v>1952</v>
      </c>
      <c r="B73" t="s">
        <v>1803</v>
      </c>
      <c r="C73">
        <v>30</v>
      </c>
      <c r="D73">
        <v>200</v>
      </c>
      <c r="E73">
        <v>2</v>
      </c>
      <c r="H73">
        <v>2489.2333634299998</v>
      </c>
      <c r="I73">
        <v>2444.015455984334</v>
      </c>
      <c r="J73">
        <v>2489.2333634299998</v>
      </c>
      <c r="K73">
        <v>2489.2333634341867</v>
      </c>
      <c r="L73">
        <v>2472.899430628936</v>
      </c>
    </row>
    <row r="74" spans="1:12" x14ac:dyDescent="0.3">
      <c r="A74" t="s">
        <v>1952</v>
      </c>
      <c r="B74" t="s">
        <v>1804</v>
      </c>
      <c r="C74">
        <v>30</v>
      </c>
      <c r="D74">
        <v>200</v>
      </c>
      <c r="E74">
        <v>3</v>
      </c>
      <c r="H74">
        <v>2431.4721356700002</v>
      </c>
      <c r="I74">
        <v>2322.5820588080342</v>
      </c>
      <c r="J74">
        <v>2431.4721356700002</v>
      </c>
      <c r="K74">
        <v>2431.472135671559</v>
      </c>
      <c r="L74">
        <v>2421.0646034384959</v>
      </c>
    </row>
    <row r="75" spans="1:12" x14ac:dyDescent="0.3">
      <c r="A75" t="s">
        <v>1952</v>
      </c>
      <c r="B75" t="s">
        <v>1805</v>
      </c>
      <c r="C75">
        <v>30</v>
      </c>
      <c r="D75">
        <v>200</v>
      </c>
      <c r="E75">
        <v>4</v>
      </c>
      <c r="H75">
        <v>2621.9457205600002</v>
      </c>
      <c r="I75">
        <v>2497.0165783656589</v>
      </c>
      <c r="J75">
        <v>2621.9457205600002</v>
      </c>
      <c r="K75">
        <v>2621.9457205559188</v>
      </c>
      <c r="L75">
        <v>2594.4888374727238</v>
      </c>
    </row>
    <row r="76" spans="1:12" x14ac:dyDescent="0.3">
      <c r="A76" t="s">
        <v>1952</v>
      </c>
      <c r="B76" t="s">
        <v>1806</v>
      </c>
      <c r="C76">
        <v>30</v>
      </c>
      <c r="D76">
        <v>200</v>
      </c>
      <c r="E76">
        <v>5</v>
      </c>
      <c r="H76">
        <v>2537.2195221400002</v>
      </c>
      <c r="I76">
        <v>2337.4109040825592</v>
      </c>
      <c r="J76">
        <v>2537.2195221400002</v>
      </c>
      <c r="K76">
        <v>2537.2195221448696</v>
      </c>
      <c r="L76">
        <v>2528.6291866627716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351D-E5FF-4AED-A755-38F0B9709B20}">
  <dimension ref="A3:H18"/>
  <sheetViews>
    <sheetView workbookViewId="0">
      <selection activeCell="H18" sqref="A3:H18"/>
    </sheetView>
  </sheetViews>
  <sheetFormatPr defaultRowHeight="14" x14ac:dyDescent="0.3"/>
  <cols>
    <col min="1" max="1" width="8.75" bestFit="1" customWidth="1"/>
    <col min="2" max="2" width="8.9140625" bestFit="1" customWidth="1"/>
    <col min="3" max="3" width="11.25" bestFit="1" customWidth="1"/>
    <col min="4" max="4" width="14.5" bestFit="1" customWidth="1"/>
    <col min="5" max="5" width="13.1640625" bestFit="1" customWidth="1"/>
    <col min="6" max="6" width="13.75" bestFit="1" customWidth="1"/>
    <col min="7" max="7" width="12.33203125" bestFit="1" customWidth="1"/>
    <col min="8" max="8" width="14.58203125" bestFit="1" customWidth="1"/>
  </cols>
  <sheetData>
    <row r="3" spans="1:8" x14ac:dyDescent="0.3">
      <c r="A3" s="2" t="s">
        <v>1954</v>
      </c>
      <c r="B3" s="2" t="s">
        <v>1957</v>
      </c>
      <c r="C3" t="s">
        <v>1964</v>
      </c>
      <c r="D3" t="s">
        <v>1965</v>
      </c>
      <c r="E3" t="s">
        <v>1966</v>
      </c>
      <c r="F3" t="s">
        <v>1968</v>
      </c>
      <c r="G3" t="s">
        <v>1963</v>
      </c>
      <c r="H3" t="s">
        <v>1967</v>
      </c>
    </row>
    <row r="4" spans="1:8" x14ac:dyDescent="0.3">
      <c r="A4" t="s">
        <v>1961</v>
      </c>
      <c r="B4">
        <v>6</v>
      </c>
      <c r="C4" s="1">
        <v>129.15325999999999</v>
      </c>
      <c r="D4" s="1">
        <v>1655.5501310334209</v>
      </c>
      <c r="E4" s="1">
        <v>256.49361001799997</v>
      </c>
      <c r="F4" s="1">
        <v>251.5872844563583</v>
      </c>
      <c r="G4" s="1">
        <v>189.25452207400048</v>
      </c>
      <c r="H4" s="1">
        <v>186.29382148579165</v>
      </c>
    </row>
    <row r="5" spans="1:8" x14ac:dyDescent="0.3">
      <c r="A5" t="s">
        <v>1961</v>
      </c>
      <c r="B5">
        <v>12</v>
      </c>
      <c r="C5" s="1">
        <v>373.14380000000006</v>
      </c>
      <c r="D5" s="1"/>
      <c r="E5" s="1">
        <v>741.18630408199999</v>
      </c>
      <c r="F5" s="1">
        <v>741.18630408235981</v>
      </c>
      <c r="G5" s="1">
        <v>642.67771367325133</v>
      </c>
      <c r="H5" s="1">
        <v>567.31309182289647</v>
      </c>
    </row>
    <row r="6" spans="1:8" x14ac:dyDescent="0.3">
      <c r="A6" t="s">
        <v>1961</v>
      </c>
      <c r="B6">
        <v>18</v>
      </c>
      <c r="C6" s="1"/>
      <c r="D6" s="1"/>
      <c r="E6" s="1">
        <v>1268.24407402</v>
      </c>
      <c r="F6" s="1">
        <v>1268.2440740187626</v>
      </c>
      <c r="G6" s="1">
        <v>1243.0955494265522</v>
      </c>
      <c r="H6" s="1">
        <v>1144.765354717845</v>
      </c>
    </row>
    <row r="7" spans="1:8" x14ac:dyDescent="0.3">
      <c r="A7" t="s">
        <v>1961</v>
      </c>
      <c r="B7">
        <v>24</v>
      </c>
      <c r="C7" s="1"/>
      <c r="D7" s="1"/>
      <c r="E7" s="1">
        <v>1828.29802346</v>
      </c>
      <c r="F7" s="1">
        <v>1828.2980234603281</v>
      </c>
      <c r="G7" s="1">
        <v>1818.2487902093544</v>
      </c>
      <c r="H7" s="1">
        <v>1732.6139867206371</v>
      </c>
    </row>
    <row r="8" spans="1:8" x14ac:dyDescent="0.3">
      <c r="A8" t="s">
        <v>1961</v>
      </c>
      <c r="B8">
        <v>30</v>
      </c>
      <c r="C8" s="1"/>
      <c r="D8" s="1"/>
      <c r="E8" s="1">
        <v>2541.6297117019999</v>
      </c>
      <c r="F8" s="1">
        <v>2541.6297117039926</v>
      </c>
      <c r="G8" s="1">
        <v>2528.2739610711092</v>
      </c>
      <c r="H8" s="1">
        <v>2426.2883292785491</v>
      </c>
    </row>
    <row r="9" spans="1:8" x14ac:dyDescent="0.3">
      <c r="A9" t="s">
        <v>1962</v>
      </c>
      <c r="B9">
        <v>3</v>
      </c>
      <c r="C9" s="1">
        <v>10.266259999999999</v>
      </c>
      <c r="D9" s="1">
        <v>10.271774319418794</v>
      </c>
      <c r="E9" s="1">
        <v>17.209974781999996</v>
      </c>
      <c r="F9" s="1">
        <v>10.271774319418794</v>
      </c>
      <c r="G9" s="1">
        <v>10.271774319418796</v>
      </c>
      <c r="H9" s="1">
        <v>10.273694319418798</v>
      </c>
    </row>
    <row r="10" spans="1:8" x14ac:dyDescent="0.3">
      <c r="A10" t="s">
        <v>1962</v>
      </c>
      <c r="B10">
        <v>6</v>
      </c>
      <c r="C10" s="1">
        <v>31.512540000000001</v>
      </c>
      <c r="D10" s="1">
        <v>31.574306750312257</v>
      </c>
      <c r="E10" s="1">
        <v>42.019905258000009</v>
      </c>
      <c r="F10" s="1">
        <v>31.575508471041452</v>
      </c>
      <c r="G10" s="1">
        <v>31.748696446756309</v>
      </c>
      <c r="H10" s="1">
        <v>31.847046180386098</v>
      </c>
    </row>
    <row r="11" spans="1:8" x14ac:dyDescent="0.3">
      <c r="A11" t="s">
        <v>1962</v>
      </c>
      <c r="B11">
        <v>9</v>
      </c>
      <c r="C11" s="1">
        <v>58.520820000000001</v>
      </c>
      <c r="D11" s="1">
        <v>370.52285290026623</v>
      </c>
      <c r="E11" s="1">
        <v>114.67313387599999</v>
      </c>
      <c r="F11" s="1">
        <v>98.37541664147389</v>
      </c>
      <c r="G11" s="1">
        <v>81.041663545139457</v>
      </c>
      <c r="H11" s="1">
        <v>76.909080449166737</v>
      </c>
    </row>
    <row r="12" spans="1:8" x14ac:dyDescent="0.3">
      <c r="A12" t="s">
        <v>1962</v>
      </c>
      <c r="B12">
        <v>12</v>
      </c>
      <c r="C12" s="1">
        <v>74.676639999999992</v>
      </c>
      <c r="D12" s="1">
        <v>1459.1088164302032</v>
      </c>
      <c r="E12" s="1">
        <v>147.61281836999999</v>
      </c>
      <c r="F12" s="1">
        <v>142.84572953232828</v>
      </c>
      <c r="G12" s="1">
        <v>106.52156895987359</v>
      </c>
      <c r="H12" s="1">
        <v>100.73423543468296</v>
      </c>
    </row>
    <row r="13" spans="1:8" x14ac:dyDescent="0.3">
      <c r="A13" t="s">
        <v>1962</v>
      </c>
      <c r="B13">
        <v>15</v>
      </c>
      <c r="C13" s="1">
        <v>98.932720000000018</v>
      </c>
      <c r="D13" s="1">
        <v>1966.0188861371898</v>
      </c>
      <c r="E13" s="1">
        <v>186.61895942999999</v>
      </c>
      <c r="F13" s="1">
        <v>179.12811309827538</v>
      </c>
      <c r="G13" s="1">
        <v>133.8495573389319</v>
      </c>
      <c r="H13" s="1">
        <v>130.8403501795091</v>
      </c>
    </row>
    <row r="14" spans="1:8" x14ac:dyDescent="0.3">
      <c r="A14" t="s">
        <v>1962</v>
      </c>
      <c r="B14">
        <v>18</v>
      </c>
      <c r="C14" s="1">
        <v>144.31746000000001</v>
      </c>
      <c r="D14" s="1"/>
      <c r="E14" s="1">
        <v>266.00776520600004</v>
      </c>
      <c r="F14" s="1">
        <v>258.57727889044111</v>
      </c>
      <c r="G14" s="1">
        <v>207.70252335986191</v>
      </c>
      <c r="H14" s="1">
        <v>189.14696829442201</v>
      </c>
    </row>
    <row r="15" spans="1:8" x14ac:dyDescent="0.3">
      <c r="A15" t="s">
        <v>1962</v>
      </c>
      <c r="B15">
        <v>21</v>
      </c>
      <c r="C15" s="1">
        <v>175.36988000000002</v>
      </c>
      <c r="D15" s="1"/>
      <c r="E15" s="1">
        <v>312.64428195800002</v>
      </c>
      <c r="F15" s="1">
        <v>302.99567343013905</v>
      </c>
      <c r="G15" s="1">
        <v>249.99536037813476</v>
      </c>
      <c r="H15" s="1">
        <v>231.08668444836204</v>
      </c>
    </row>
    <row r="16" spans="1:8" x14ac:dyDescent="0.3">
      <c r="A16" t="s">
        <v>1962</v>
      </c>
      <c r="B16">
        <v>24</v>
      </c>
      <c r="C16" s="1">
        <v>206.06977499999999</v>
      </c>
      <c r="D16" s="1"/>
      <c r="E16" s="1">
        <v>354.822236766</v>
      </c>
      <c r="F16" s="1">
        <v>344.63203181954958</v>
      </c>
      <c r="G16" s="1">
        <v>306.64215702497256</v>
      </c>
      <c r="H16" s="1">
        <v>270.67427313101746</v>
      </c>
    </row>
    <row r="17" spans="1:8" x14ac:dyDescent="0.3">
      <c r="A17" t="s">
        <v>1962</v>
      </c>
      <c r="B17">
        <v>27</v>
      </c>
      <c r="C17" s="1">
        <v>261.38944000000004</v>
      </c>
      <c r="D17" s="1"/>
      <c r="E17" s="1">
        <v>430.61161129200002</v>
      </c>
      <c r="F17" s="1">
        <v>421.56545141902018</v>
      </c>
      <c r="G17" s="1">
        <v>379.95766021851705</v>
      </c>
      <c r="H17" s="1">
        <v>339.41747449464452</v>
      </c>
    </row>
    <row r="18" spans="1:8" x14ac:dyDescent="0.3">
      <c r="A18" t="s">
        <v>1962</v>
      </c>
      <c r="B18">
        <v>30</v>
      </c>
      <c r="C18" s="1">
        <v>293.09539999999998</v>
      </c>
      <c r="D18" s="1"/>
      <c r="E18" s="1">
        <v>491.96493523199996</v>
      </c>
      <c r="F18" s="1">
        <v>481.57574370294225</v>
      </c>
      <c r="G18" s="1">
        <v>431.24623052000686</v>
      </c>
      <c r="H18" s="1">
        <v>371.5808050906582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7C86-E334-4BF7-B1F1-5670950B780F}">
  <dimension ref="A1:V38"/>
  <sheetViews>
    <sheetView tabSelected="1" topLeftCell="C2" workbookViewId="0">
      <selection activeCell="V37" sqref="N21:V37"/>
    </sheetView>
  </sheetViews>
  <sheetFormatPr defaultRowHeight="14" x14ac:dyDescent="0.3"/>
  <cols>
    <col min="1" max="1" width="14.33203125" customWidth="1"/>
    <col min="2" max="2" width="12.1640625" customWidth="1"/>
    <col min="3" max="3" width="10.6640625" bestFit="1" customWidth="1"/>
    <col min="4" max="4" width="11.75" bestFit="1" customWidth="1"/>
    <col min="5" max="5" width="8.75" style="12" bestFit="1" customWidth="1"/>
    <col min="6" max="6" width="11.75" bestFit="1" customWidth="1"/>
    <col min="7" max="7" width="8.75" style="12" bestFit="1" customWidth="1"/>
    <col min="8" max="8" width="11.75" bestFit="1" customWidth="1"/>
    <col min="9" max="9" width="8.75" style="12" bestFit="1" customWidth="1"/>
    <col min="10" max="10" width="8.75" bestFit="1" customWidth="1"/>
    <col min="11" max="11" width="8.6640625" style="12"/>
    <col min="16" max="16" width="10.6640625" bestFit="1" customWidth="1"/>
    <col min="17" max="17" width="14.33203125" customWidth="1"/>
    <col min="18" max="20" width="9.58203125" bestFit="1" customWidth="1"/>
  </cols>
  <sheetData>
    <row r="1" spans="1:13" x14ac:dyDescent="0.3">
      <c r="A1" t="s">
        <v>1954</v>
      </c>
      <c r="B1" t="s">
        <v>1957</v>
      </c>
      <c r="C1" t="s">
        <v>1765</v>
      </c>
      <c r="D1" t="s">
        <v>1808</v>
      </c>
      <c r="F1" t="s">
        <v>819</v>
      </c>
      <c r="H1" t="s">
        <v>1810</v>
      </c>
      <c r="J1" t="s">
        <v>1811</v>
      </c>
      <c r="L1" t="s">
        <v>815</v>
      </c>
    </row>
    <row r="2" spans="1:13" x14ac:dyDescent="0.3">
      <c r="A2" t="s">
        <v>1961</v>
      </c>
      <c r="B2">
        <v>6</v>
      </c>
      <c r="C2">
        <v>129.15325999999999</v>
      </c>
      <c r="D2">
        <v>1655.5501310334209</v>
      </c>
      <c r="E2" s="12">
        <f>(D2-C2)/D2</f>
        <v>0.92198770814666875</v>
      </c>
      <c r="F2">
        <v>256.49361001799997</v>
      </c>
      <c r="G2" s="12">
        <f>(F2-$C2)/F2</f>
        <v>0.49646597437286494</v>
      </c>
      <c r="H2">
        <v>251.5872844563583</v>
      </c>
      <c r="I2" s="12">
        <f>(H2-$C2)/H2</f>
        <v>0.4866463133099892</v>
      </c>
      <c r="J2">
        <v>189.25452207400048</v>
      </c>
      <c r="K2" s="12">
        <f>(J2-$C2)/J2</f>
        <v>0.31756843332124063</v>
      </c>
      <c r="L2">
        <v>186.29382148579165</v>
      </c>
      <c r="M2" s="12">
        <f>(L2-$C2)/L2</f>
        <v>0.30672279429379623</v>
      </c>
    </row>
    <row r="3" spans="1:13" x14ac:dyDescent="0.3">
      <c r="A3" t="s">
        <v>1961</v>
      </c>
      <c r="B3">
        <v>12</v>
      </c>
      <c r="C3">
        <v>373.14380000000006</v>
      </c>
      <c r="F3">
        <v>741.18630408199999</v>
      </c>
      <c r="G3" s="12">
        <f t="shared" ref="G3:G16" si="0">(F3-$C3)/F3</f>
        <v>0.49655869523633578</v>
      </c>
      <c r="H3">
        <v>741.18630408235981</v>
      </c>
      <c r="I3" s="12">
        <f t="shared" ref="I3:I16" si="1">(H3-$C3)/H3</f>
        <v>0.49655869523658019</v>
      </c>
      <c r="J3">
        <v>642.67771367325133</v>
      </c>
      <c r="K3" s="12">
        <f t="shared" ref="K3:K16" si="2">(J3-$C3)/J3</f>
        <v>0.41939203420127785</v>
      </c>
      <c r="L3">
        <v>567.31309182289647</v>
      </c>
      <c r="M3" s="12">
        <f t="shared" ref="M3:M16" si="3">(L3-$C3)/L3</f>
        <v>0.34226125682908104</v>
      </c>
    </row>
    <row r="4" spans="1:13" x14ac:dyDescent="0.3">
      <c r="A4" t="s">
        <v>1961</v>
      </c>
      <c r="B4">
        <v>18</v>
      </c>
      <c r="F4">
        <v>1268.24407402</v>
      </c>
      <c r="G4" s="12">
        <f t="shared" si="0"/>
        <v>1</v>
      </c>
      <c r="H4">
        <v>1268.2440740187626</v>
      </c>
      <c r="I4" s="12">
        <f t="shared" si="1"/>
        <v>1</v>
      </c>
      <c r="J4">
        <v>1243.0955494265522</v>
      </c>
      <c r="K4" s="12">
        <f t="shared" si="2"/>
        <v>1</v>
      </c>
      <c r="L4">
        <v>1144.765354717845</v>
      </c>
      <c r="M4" s="12">
        <f t="shared" si="3"/>
        <v>1</v>
      </c>
    </row>
    <row r="5" spans="1:13" x14ac:dyDescent="0.3">
      <c r="A5" t="s">
        <v>1961</v>
      </c>
      <c r="B5">
        <v>24</v>
      </c>
      <c r="F5">
        <v>1828.29802346</v>
      </c>
      <c r="G5" s="12">
        <f t="shared" si="0"/>
        <v>1</v>
      </c>
      <c r="H5">
        <v>1828.2980234603281</v>
      </c>
      <c r="I5" s="12">
        <f t="shared" si="1"/>
        <v>1</v>
      </c>
      <c r="J5">
        <v>1818.2487902093544</v>
      </c>
      <c r="K5" s="12">
        <f t="shared" si="2"/>
        <v>1</v>
      </c>
      <c r="L5">
        <v>1732.6139867206371</v>
      </c>
      <c r="M5" s="12">
        <f t="shared" si="3"/>
        <v>1</v>
      </c>
    </row>
    <row r="6" spans="1:13" x14ac:dyDescent="0.3">
      <c r="A6" t="s">
        <v>1961</v>
      </c>
      <c r="B6">
        <v>30</v>
      </c>
      <c r="F6">
        <v>2541.6297117019999</v>
      </c>
      <c r="G6" s="12">
        <f t="shared" si="0"/>
        <v>1</v>
      </c>
      <c r="H6">
        <v>2541.6297117039926</v>
      </c>
      <c r="I6" s="12">
        <f t="shared" si="1"/>
        <v>1</v>
      </c>
      <c r="J6">
        <v>2528.2739610711092</v>
      </c>
      <c r="K6" s="12">
        <f t="shared" si="2"/>
        <v>1</v>
      </c>
      <c r="L6">
        <v>2426.2883292785491</v>
      </c>
      <c r="M6" s="12">
        <f t="shared" si="3"/>
        <v>1</v>
      </c>
    </row>
    <row r="7" spans="1:13" x14ac:dyDescent="0.3">
      <c r="A7" t="s">
        <v>1962</v>
      </c>
      <c r="B7">
        <v>3</v>
      </c>
      <c r="C7">
        <v>10.266259999999999</v>
      </c>
      <c r="D7">
        <v>10.271774319418794</v>
      </c>
      <c r="E7" s="12">
        <f t="shared" ref="E7:E11" si="4">(D7-C7)/D7</f>
        <v>5.3684195615263735E-4</v>
      </c>
      <c r="F7">
        <v>17.209974781999996</v>
      </c>
      <c r="G7" s="12">
        <f t="shared" si="0"/>
        <v>0.4034703635511695</v>
      </c>
      <c r="H7">
        <v>10.271774319418794</v>
      </c>
      <c r="I7" s="12">
        <f t="shared" si="1"/>
        <v>5.3684195615263735E-4</v>
      </c>
      <c r="J7">
        <v>10.271774319418796</v>
      </c>
      <c r="K7" s="12">
        <f t="shared" si="2"/>
        <v>5.3684195615281017E-4</v>
      </c>
      <c r="L7">
        <v>10.273694319418798</v>
      </c>
      <c r="M7" s="12">
        <f t="shared" si="3"/>
        <v>7.2362669042497663E-4</v>
      </c>
    </row>
    <row r="8" spans="1:13" x14ac:dyDescent="0.3">
      <c r="A8" t="s">
        <v>1962</v>
      </c>
      <c r="B8">
        <v>6</v>
      </c>
      <c r="C8">
        <v>31.512540000000001</v>
      </c>
      <c r="D8">
        <v>31.574306750312257</v>
      </c>
      <c r="E8" s="12">
        <f t="shared" si="4"/>
        <v>1.9562345675774679E-3</v>
      </c>
      <c r="F8">
        <v>42.019905258000009</v>
      </c>
      <c r="G8" s="12">
        <f t="shared" si="0"/>
        <v>0.25005685266269251</v>
      </c>
      <c r="H8">
        <v>31.575508471041452</v>
      </c>
      <c r="I8" s="12">
        <f t="shared" si="1"/>
        <v>1.9942187502443721E-3</v>
      </c>
      <c r="J8">
        <v>31.748696446756309</v>
      </c>
      <c r="K8" s="12">
        <f t="shared" si="2"/>
        <v>7.4383037159447005E-3</v>
      </c>
      <c r="L8">
        <v>31.847046180386098</v>
      </c>
      <c r="M8" s="12">
        <f t="shared" si="3"/>
        <v>1.0503522948138014E-2</v>
      </c>
    </row>
    <row r="9" spans="1:13" x14ac:dyDescent="0.3">
      <c r="A9" t="s">
        <v>1962</v>
      </c>
      <c r="B9">
        <v>9</v>
      </c>
      <c r="C9">
        <v>58.520820000000001</v>
      </c>
      <c r="D9">
        <v>370.52285290026623</v>
      </c>
      <c r="E9" s="12">
        <f t="shared" si="4"/>
        <v>0.84205881083466638</v>
      </c>
      <c r="F9">
        <v>114.67313387599999</v>
      </c>
      <c r="G9" s="12">
        <f t="shared" si="0"/>
        <v>0.48967279412385661</v>
      </c>
      <c r="H9">
        <v>98.37541664147389</v>
      </c>
      <c r="I9" s="12">
        <f t="shared" si="1"/>
        <v>0.40512760201791786</v>
      </c>
      <c r="J9">
        <v>81.041663545139457</v>
      </c>
      <c r="K9" s="12">
        <f t="shared" si="2"/>
        <v>0.27789216755891932</v>
      </c>
      <c r="L9">
        <v>76.909080449166737</v>
      </c>
      <c r="M9" s="12">
        <f t="shared" si="3"/>
        <v>0.2390908894213149</v>
      </c>
    </row>
    <row r="10" spans="1:13" x14ac:dyDescent="0.3">
      <c r="A10" t="s">
        <v>1962</v>
      </c>
      <c r="B10">
        <v>12</v>
      </c>
      <c r="C10">
        <v>74.676639999999992</v>
      </c>
      <c r="D10">
        <v>1459.1088164302032</v>
      </c>
      <c r="E10" s="12">
        <f t="shared" si="4"/>
        <v>0.94882037641119821</v>
      </c>
      <c r="F10">
        <v>147.61281836999999</v>
      </c>
      <c r="G10" s="12">
        <f t="shared" si="0"/>
        <v>0.49410463925416886</v>
      </c>
      <c r="H10">
        <v>142.84572953232828</v>
      </c>
      <c r="I10" s="12">
        <f t="shared" si="1"/>
        <v>0.47722175353446972</v>
      </c>
      <c r="J10">
        <v>106.52156895987359</v>
      </c>
      <c r="K10" s="12">
        <f t="shared" si="2"/>
        <v>0.29895287190023934</v>
      </c>
      <c r="L10">
        <v>100.73423543468296</v>
      </c>
      <c r="M10" s="12">
        <f t="shared" si="3"/>
        <v>0.25867665865771089</v>
      </c>
    </row>
    <row r="11" spans="1:13" x14ac:dyDescent="0.3">
      <c r="A11" t="s">
        <v>1962</v>
      </c>
      <c r="B11">
        <v>15</v>
      </c>
      <c r="C11">
        <v>98.932720000000018</v>
      </c>
      <c r="D11">
        <v>1966.0188861371898</v>
      </c>
      <c r="E11" s="12">
        <f t="shared" si="4"/>
        <v>0.94967865227664128</v>
      </c>
      <c r="F11">
        <v>186.61895942999999</v>
      </c>
      <c r="G11" s="12">
        <f t="shared" si="0"/>
        <v>0.46986779745115193</v>
      </c>
      <c r="H11">
        <v>179.12811309827538</v>
      </c>
      <c r="I11" s="12">
        <f t="shared" si="1"/>
        <v>0.44769853101884471</v>
      </c>
      <c r="J11">
        <v>133.8495573389319</v>
      </c>
      <c r="K11" s="12">
        <f t="shared" si="2"/>
        <v>0.26086628923632504</v>
      </c>
      <c r="L11">
        <v>130.8403501795091</v>
      </c>
      <c r="M11" s="12">
        <f t="shared" si="3"/>
        <v>0.24386689683826707</v>
      </c>
    </row>
    <row r="12" spans="1:13" x14ac:dyDescent="0.3">
      <c r="A12" t="s">
        <v>1962</v>
      </c>
      <c r="B12">
        <v>18</v>
      </c>
      <c r="C12">
        <v>144.31746000000001</v>
      </c>
      <c r="F12">
        <v>266.00776520600004</v>
      </c>
      <c r="G12" s="12">
        <f t="shared" si="0"/>
        <v>0.45746899573311856</v>
      </c>
      <c r="H12">
        <v>258.57727889044111</v>
      </c>
      <c r="I12" s="12">
        <f t="shared" si="1"/>
        <v>0.44187880459076551</v>
      </c>
      <c r="J12">
        <v>207.70252335986191</v>
      </c>
      <c r="K12" s="12">
        <f t="shared" si="2"/>
        <v>0.30517233172965358</v>
      </c>
      <c r="L12">
        <v>189.14696829442201</v>
      </c>
      <c r="M12" s="12">
        <f t="shared" si="3"/>
        <v>0.23700886510980906</v>
      </c>
    </row>
    <row r="13" spans="1:13" x14ac:dyDescent="0.3">
      <c r="A13" t="s">
        <v>1962</v>
      </c>
      <c r="B13">
        <v>21</v>
      </c>
      <c r="C13">
        <v>175.36988000000002</v>
      </c>
      <c r="F13">
        <v>312.64428195800002</v>
      </c>
      <c r="G13" s="12">
        <f t="shared" si="0"/>
        <v>0.43907536417519111</v>
      </c>
      <c r="H13">
        <v>302.99567343013905</v>
      </c>
      <c r="I13" s="12">
        <f t="shared" si="1"/>
        <v>0.42121325359309258</v>
      </c>
      <c r="J13">
        <v>249.99536037813476</v>
      </c>
      <c r="K13" s="12">
        <f t="shared" si="2"/>
        <v>0.29850746135951761</v>
      </c>
      <c r="L13">
        <v>231.08668444836204</v>
      </c>
      <c r="M13" s="12">
        <f t="shared" si="3"/>
        <v>0.24110781017680111</v>
      </c>
    </row>
    <row r="14" spans="1:13" x14ac:dyDescent="0.3">
      <c r="A14" t="s">
        <v>1962</v>
      </c>
      <c r="B14">
        <v>24</v>
      </c>
      <c r="C14">
        <v>206.06977499999999</v>
      </c>
      <c r="F14">
        <v>354.822236766</v>
      </c>
      <c r="G14" s="12">
        <f t="shared" si="0"/>
        <v>0.41923094539336903</v>
      </c>
      <c r="H14">
        <v>344.63203181954958</v>
      </c>
      <c r="I14" s="12">
        <f t="shared" si="1"/>
        <v>0.40205855528861933</v>
      </c>
      <c r="J14">
        <v>306.64215702497256</v>
      </c>
      <c r="K14" s="12">
        <f t="shared" si="2"/>
        <v>0.32797963267908425</v>
      </c>
      <c r="L14">
        <v>270.67427313101746</v>
      </c>
      <c r="M14" s="12">
        <f t="shared" si="3"/>
        <v>0.2386798619008251</v>
      </c>
    </row>
    <row r="15" spans="1:13" x14ac:dyDescent="0.3">
      <c r="A15" t="s">
        <v>1962</v>
      </c>
      <c r="B15">
        <v>27</v>
      </c>
      <c r="C15">
        <v>261.38944000000004</v>
      </c>
      <c r="F15">
        <v>430.61161129200002</v>
      </c>
      <c r="G15" s="12">
        <f t="shared" si="0"/>
        <v>0.39298097602214804</v>
      </c>
      <c r="H15">
        <v>421.56545141902018</v>
      </c>
      <c r="I15" s="12">
        <f t="shared" si="1"/>
        <v>0.37995526170338667</v>
      </c>
      <c r="J15">
        <v>379.95766021851705</v>
      </c>
      <c r="K15" s="12">
        <f t="shared" si="2"/>
        <v>0.31205640162729542</v>
      </c>
      <c r="L15">
        <v>339.41747449464452</v>
      </c>
      <c r="M15" s="12">
        <f t="shared" si="3"/>
        <v>0.22988808873444036</v>
      </c>
    </row>
    <row r="16" spans="1:13" x14ac:dyDescent="0.3">
      <c r="A16" t="s">
        <v>1962</v>
      </c>
      <c r="B16">
        <v>30</v>
      </c>
      <c r="C16">
        <v>293.09539999999998</v>
      </c>
      <c r="F16">
        <v>491.96493523199996</v>
      </c>
      <c r="G16" s="12">
        <f t="shared" si="0"/>
        <v>0.40423518220504362</v>
      </c>
      <c r="H16">
        <v>481.57574370294225</v>
      </c>
      <c r="I16" s="12">
        <f t="shared" si="1"/>
        <v>0.39138255231394187</v>
      </c>
      <c r="J16">
        <v>431.24623052000686</v>
      </c>
      <c r="K16" s="12">
        <f t="shared" si="2"/>
        <v>0.32035255207546126</v>
      </c>
      <c r="L16">
        <v>371.5808050906582</v>
      </c>
      <c r="M16" s="12">
        <f t="shared" si="3"/>
        <v>0.21122028914144089</v>
      </c>
    </row>
    <row r="21" spans="1:22" x14ac:dyDescent="0.3">
      <c r="N21" s="57" t="s">
        <v>826</v>
      </c>
      <c r="O21" s="57"/>
      <c r="P21" s="47" t="s">
        <v>1765</v>
      </c>
      <c r="Q21" s="57" t="s">
        <v>810</v>
      </c>
      <c r="R21" s="57"/>
      <c r="S21" s="57"/>
      <c r="T21" s="57"/>
      <c r="U21" s="57" t="s">
        <v>1812</v>
      </c>
      <c r="V21" s="57"/>
    </row>
    <row r="22" spans="1:22" x14ac:dyDescent="0.3">
      <c r="A22" s="47" t="s">
        <v>826</v>
      </c>
      <c r="B22" s="47"/>
      <c r="C22" s="47" t="s">
        <v>1765</v>
      </c>
      <c r="D22" s="47" t="s">
        <v>1808</v>
      </c>
      <c r="E22" s="47"/>
      <c r="F22" s="47" t="s">
        <v>819</v>
      </c>
      <c r="G22" s="47"/>
      <c r="H22" s="47" t="s">
        <v>815</v>
      </c>
      <c r="I22" s="47"/>
      <c r="J22" s="47"/>
      <c r="N22" s="44" t="s">
        <v>1969</v>
      </c>
      <c r="O22" s="44" t="s">
        <v>1982</v>
      </c>
      <c r="P22" s="43"/>
      <c r="Q22" s="44" t="s">
        <v>1815</v>
      </c>
      <c r="R22" s="44" t="s">
        <v>1810</v>
      </c>
      <c r="S22" s="44" t="s">
        <v>1811</v>
      </c>
      <c r="T22" s="44" t="s">
        <v>815</v>
      </c>
      <c r="U22" s="44" t="s">
        <v>1813</v>
      </c>
      <c r="V22" s="44" t="s">
        <v>1814</v>
      </c>
    </row>
    <row r="23" spans="1:22" x14ac:dyDescent="0.3">
      <c r="A23" s="50" t="s">
        <v>1969</v>
      </c>
      <c r="B23" s="50" t="s">
        <v>1982</v>
      </c>
      <c r="C23" s="43"/>
      <c r="D23" s="50" t="s">
        <v>810</v>
      </c>
      <c r="E23" s="51" t="s">
        <v>92</v>
      </c>
      <c r="F23" s="50" t="s">
        <v>810</v>
      </c>
      <c r="G23" s="51" t="s">
        <v>92</v>
      </c>
      <c r="H23" s="50" t="s">
        <v>810</v>
      </c>
      <c r="I23" s="51" t="s">
        <v>92</v>
      </c>
      <c r="J23" s="50" t="s">
        <v>1809</v>
      </c>
      <c r="N23" s="34" t="s">
        <v>1980</v>
      </c>
      <c r="O23" s="37" t="s">
        <v>1970</v>
      </c>
      <c r="P23" s="58">
        <v>10.266259999999999</v>
      </c>
      <c r="Q23" s="58">
        <f>MIN(D24,F24)</f>
        <v>10.271774319418794</v>
      </c>
      <c r="R23" s="58">
        <v>10.271774319418794</v>
      </c>
      <c r="S23" s="58">
        <v>10.271774319418796</v>
      </c>
      <c r="T23" s="58">
        <v>10.273694319418798</v>
      </c>
      <c r="U23" s="36">
        <f>(R23-$T23)/R23</f>
        <v>-1.8691999456938376E-4</v>
      </c>
      <c r="V23" s="36">
        <f>(S23-$T23)/S23</f>
        <v>-1.8691999456921078E-4</v>
      </c>
    </row>
    <row r="24" spans="1:22" x14ac:dyDescent="0.3">
      <c r="A24" s="47" t="s">
        <v>1980</v>
      </c>
      <c r="B24" s="52" t="s">
        <v>1970</v>
      </c>
      <c r="C24" s="54">
        <v>10.266259999999999</v>
      </c>
      <c r="D24" s="54">
        <v>10.271774319418794</v>
      </c>
      <c r="E24" s="53">
        <f>(D24-C24)/D24</f>
        <v>5.3684195615263735E-4</v>
      </c>
      <c r="F24" s="54">
        <v>17.209974781999996</v>
      </c>
      <c r="G24" s="49">
        <f>(F24-$C24)/F24</f>
        <v>0.4034703635511695</v>
      </c>
      <c r="H24" s="54">
        <v>10.273694319418798</v>
      </c>
      <c r="I24" s="49">
        <f>(H24-$C24)/H24</f>
        <v>7.2362669042497663E-4</v>
      </c>
      <c r="J24" s="49">
        <f>(F24-H24)/F24</f>
        <v>0.40303838619426047</v>
      </c>
      <c r="N24" s="34"/>
      <c r="O24" s="35" t="s">
        <v>1971</v>
      </c>
      <c r="P24" s="58">
        <v>31.512540000000001</v>
      </c>
      <c r="Q24" s="58">
        <f t="shared" ref="Q24:Q37" si="5">MIN(D25,F25)</f>
        <v>31.574306750312257</v>
      </c>
      <c r="R24" s="58">
        <v>31.575508471041452</v>
      </c>
      <c r="S24" s="58">
        <v>31.748696446756309</v>
      </c>
      <c r="T24" s="58">
        <v>31.847046180386098</v>
      </c>
      <c r="U24" s="36">
        <f t="shared" ref="U24:U37" si="6">(R24-$T24)/R24</f>
        <v>-8.5996306154080913E-3</v>
      </c>
      <c r="V24" s="36">
        <f t="shared" ref="V24:V37" si="7">(S24-$T24)/S24</f>
        <v>-3.097756589620135E-3</v>
      </c>
    </row>
    <row r="25" spans="1:22" x14ac:dyDescent="0.3">
      <c r="A25" s="38"/>
      <c r="B25" s="39" t="s">
        <v>1971</v>
      </c>
      <c r="C25" s="55">
        <v>31.512540000000001</v>
      </c>
      <c r="D25" s="55">
        <v>31.574306750312257</v>
      </c>
      <c r="E25" s="42">
        <f>(D25-C25)/D25</f>
        <v>1.9562345675774679E-3</v>
      </c>
      <c r="F25" s="55">
        <v>42.019905258000009</v>
      </c>
      <c r="G25" s="40">
        <f>(F25-$C25)/F25</f>
        <v>0.25005685266269251</v>
      </c>
      <c r="H25" s="55">
        <v>31.847046180386098</v>
      </c>
      <c r="I25" s="40">
        <f>(H25-$C25)/H25</f>
        <v>1.0503522948138014E-2</v>
      </c>
      <c r="J25" s="40">
        <f>(F25-H25)/F25</f>
        <v>0.24209619262949525</v>
      </c>
      <c r="N25" s="34"/>
      <c r="O25" s="37" t="s">
        <v>1972</v>
      </c>
      <c r="P25" s="58">
        <v>58.520820000000001</v>
      </c>
      <c r="Q25" s="58">
        <f t="shared" si="5"/>
        <v>114.67313387599999</v>
      </c>
      <c r="R25" s="58">
        <v>98.37541664147389</v>
      </c>
      <c r="S25" s="58">
        <v>81.041663545139457</v>
      </c>
      <c r="T25" s="58">
        <v>76.909080449166737</v>
      </c>
      <c r="U25" s="36">
        <f t="shared" si="6"/>
        <v>0.21820833827358049</v>
      </c>
      <c r="V25" s="36">
        <f t="shared" si="7"/>
        <v>5.0993315230639477E-2</v>
      </c>
    </row>
    <row r="26" spans="1:22" x14ac:dyDescent="0.3">
      <c r="A26" s="38"/>
      <c r="B26" s="41" t="s">
        <v>1972</v>
      </c>
      <c r="C26" s="55">
        <v>58.520820000000001</v>
      </c>
      <c r="D26" s="55">
        <v>370.52285290026623</v>
      </c>
      <c r="E26" s="40">
        <f>(D26-C26)/D26</f>
        <v>0.84205881083466638</v>
      </c>
      <c r="F26" s="55">
        <v>114.67313387599999</v>
      </c>
      <c r="G26" s="40">
        <f>(F26-$C26)/F26</f>
        <v>0.48967279412385661</v>
      </c>
      <c r="H26" s="55">
        <v>76.909080449166737</v>
      </c>
      <c r="I26" s="42">
        <f>(H26-$C26)/H26</f>
        <v>0.2390908894213149</v>
      </c>
      <c r="J26" s="40">
        <f>(F26-H26)/F26</f>
        <v>0.32931910160987515</v>
      </c>
      <c r="N26" s="34"/>
      <c r="O26" s="37" t="s">
        <v>1973</v>
      </c>
      <c r="P26" s="58">
        <v>74.676639999999992</v>
      </c>
      <c r="Q26" s="58">
        <f t="shared" si="5"/>
        <v>147.61281836999999</v>
      </c>
      <c r="R26" s="58">
        <v>142.84572953232828</v>
      </c>
      <c r="S26" s="58">
        <v>106.52156895987359</v>
      </c>
      <c r="T26" s="58">
        <v>100.73423543468296</v>
      </c>
      <c r="U26" s="36">
        <f t="shared" si="6"/>
        <v>0.29480401154109975</v>
      </c>
      <c r="V26" s="36">
        <f t="shared" si="7"/>
        <v>5.4330156621807804E-2</v>
      </c>
    </row>
    <row r="27" spans="1:22" x14ac:dyDescent="0.3">
      <c r="A27" s="38"/>
      <c r="B27" s="41" t="s">
        <v>1973</v>
      </c>
      <c r="C27" s="55">
        <v>74.676639999999992</v>
      </c>
      <c r="D27" s="55">
        <v>1459.1088164302032</v>
      </c>
      <c r="E27" s="40">
        <f>(D27-C27)/D27</f>
        <v>0.94882037641119821</v>
      </c>
      <c r="F27" s="55">
        <v>147.61281836999999</v>
      </c>
      <c r="G27" s="40">
        <f>(F27-$C27)/F27</f>
        <v>0.49410463925416886</v>
      </c>
      <c r="H27" s="55">
        <v>100.73423543468296</v>
      </c>
      <c r="I27" s="42">
        <f>(H27-$C27)/H27</f>
        <v>0.25867665865771089</v>
      </c>
      <c r="J27" s="40">
        <f>(F27-H27)/F27</f>
        <v>0.31757799527824998</v>
      </c>
      <c r="N27" s="34"/>
      <c r="O27" s="35" t="s">
        <v>1974</v>
      </c>
      <c r="P27" s="58">
        <v>98.932720000000018</v>
      </c>
      <c r="Q27" s="58">
        <f t="shared" si="5"/>
        <v>186.61895942999999</v>
      </c>
      <c r="R27" s="58">
        <v>179.12811309827538</v>
      </c>
      <c r="S27" s="58">
        <v>133.8495573389319</v>
      </c>
      <c r="T27" s="58">
        <v>130.8403501795091</v>
      </c>
      <c r="U27" s="36">
        <f t="shared" si="6"/>
        <v>0.26957110240018034</v>
      </c>
      <c r="V27" s="36">
        <f t="shared" si="7"/>
        <v>2.2482010544143449E-2</v>
      </c>
    </row>
    <row r="28" spans="1:22" x14ac:dyDescent="0.3">
      <c r="A28" s="38"/>
      <c r="B28" s="39" t="s">
        <v>1974</v>
      </c>
      <c r="C28" s="55">
        <v>98.932720000000018</v>
      </c>
      <c r="D28" s="55">
        <v>1966.0188861371898</v>
      </c>
      <c r="E28" s="40">
        <f>(D28-C28)/D28</f>
        <v>0.94967865227664128</v>
      </c>
      <c r="F28" s="55">
        <v>186.61895942999999</v>
      </c>
      <c r="G28" s="40">
        <f>(F28-$C28)/F28</f>
        <v>0.46986779745115193</v>
      </c>
      <c r="H28" s="55">
        <v>130.8403501795091</v>
      </c>
      <c r="I28" s="42">
        <f>(H28-$C28)/H28</f>
        <v>0.24386689683826707</v>
      </c>
      <c r="J28" s="40">
        <f>(F28-H28)/F28</f>
        <v>0.29889036687836218</v>
      </c>
      <c r="N28" s="34"/>
      <c r="O28" s="35" t="s">
        <v>1975</v>
      </c>
      <c r="P28" s="58">
        <v>144.31746000000001</v>
      </c>
      <c r="Q28" s="58">
        <f t="shared" si="5"/>
        <v>266.00776520600004</v>
      </c>
      <c r="R28" s="58">
        <v>258.57727889044111</v>
      </c>
      <c r="S28" s="58">
        <v>207.70252335986191</v>
      </c>
      <c r="T28" s="58">
        <v>189.14696829442201</v>
      </c>
      <c r="U28" s="36">
        <f t="shared" si="6"/>
        <v>0.26850893819420474</v>
      </c>
      <c r="V28" s="36">
        <f t="shared" si="7"/>
        <v>8.9337167239373683E-2</v>
      </c>
    </row>
    <row r="29" spans="1:22" x14ac:dyDescent="0.3">
      <c r="A29" s="38"/>
      <c r="B29" s="39" t="s">
        <v>1975</v>
      </c>
      <c r="C29" s="55">
        <v>144.31746000000001</v>
      </c>
      <c r="D29" s="55" t="s">
        <v>1756</v>
      </c>
      <c r="E29" s="40" t="s">
        <v>1756</v>
      </c>
      <c r="F29" s="55">
        <v>266.00776520600004</v>
      </c>
      <c r="G29" s="40">
        <f>(F29-$C29)/F29</f>
        <v>0.45746899573311856</v>
      </c>
      <c r="H29" s="55">
        <v>189.14696829442201</v>
      </c>
      <c r="I29" s="42">
        <f>(H29-$C29)/H29</f>
        <v>0.23700886510980906</v>
      </c>
      <c r="J29" s="40">
        <f>(F29-H29)/F29</f>
        <v>0.2889419293908807</v>
      </c>
      <c r="N29" s="34"/>
      <c r="O29" s="37" t="s">
        <v>1976</v>
      </c>
      <c r="P29" s="58">
        <v>175.36988000000002</v>
      </c>
      <c r="Q29" s="58">
        <f t="shared" si="5"/>
        <v>312.64428195800002</v>
      </c>
      <c r="R29" s="58">
        <v>302.99567343013905</v>
      </c>
      <c r="S29" s="58">
        <v>249.99536037813476</v>
      </c>
      <c r="T29" s="58">
        <v>231.08668444836204</v>
      </c>
      <c r="U29" s="36">
        <f t="shared" si="6"/>
        <v>0.23732678479436073</v>
      </c>
      <c r="V29" s="36">
        <f t="shared" si="7"/>
        <v>7.5636107410841882E-2</v>
      </c>
    </row>
    <row r="30" spans="1:22" x14ac:dyDescent="0.3">
      <c r="A30" s="38"/>
      <c r="B30" s="41" t="s">
        <v>1976</v>
      </c>
      <c r="C30" s="55">
        <v>175.36988000000002</v>
      </c>
      <c r="D30" s="55" t="s">
        <v>1756</v>
      </c>
      <c r="E30" s="40" t="s">
        <v>1756</v>
      </c>
      <c r="F30" s="55">
        <v>312.64428195800002</v>
      </c>
      <c r="G30" s="40">
        <f>(F30-$C30)/F30</f>
        <v>0.43907536417519111</v>
      </c>
      <c r="H30" s="55">
        <v>231.08668444836204</v>
      </c>
      <c r="I30" s="42">
        <f>(H30-$C30)/H30</f>
        <v>0.24110781017680111</v>
      </c>
      <c r="J30" s="40">
        <f>(F30-H30)/F30</f>
        <v>0.26086387059077659</v>
      </c>
      <c r="N30" s="34"/>
      <c r="O30" s="35" t="s">
        <v>1977</v>
      </c>
      <c r="P30" s="58">
        <v>206.06977499999999</v>
      </c>
      <c r="Q30" s="58">
        <f t="shared" si="5"/>
        <v>354.822236766</v>
      </c>
      <c r="R30" s="58">
        <v>344.63203181954958</v>
      </c>
      <c r="S30" s="58">
        <v>306.64215702497256</v>
      </c>
      <c r="T30" s="58">
        <v>270.67427313101746</v>
      </c>
      <c r="U30" s="36">
        <f t="shared" si="6"/>
        <v>0.21459920106108024</v>
      </c>
      <c r="V30" s="36">
        <f t="shared" si="7"/>
        <v>0.11729595252953404</v>
      </c>
    </row>
    <row r="31" spans="1:22" x14ac:dyDescent="0.3">
      <c r="A31" s="38"/>
      <c r="B31" s="39" t="s">
        <v>1977</v>
      </c>
      <c r="C31" s="55">
        <v>206.06977499999999</v>
      </c>
      <c r="D31" s="55" t="s">
        <v>1756</v>
      </c>
      <c r="E31" s="40" t="s">
        <v>1756</v>
      </c>
      <c r="F31" s="55">
        <v>354.822236766</v>
      </c>
      <c r="G31" s="40">
        <f>(F31-$C31)/F31</f>
        <v>0.41923094539336903</v>
      </c>
      <c r="H31" s="55">
        <v>270.67427313101746</v>
      </c>
      <c r="I31" s="42">
        <f>(H31-$C31)/H31</f>
        <v>0.2386798619008251</v>
      </c>
      <c r="J31" s="40">
        <f>(F31-H31)/F31</f>
        <v>0.23715527076866064</v>
      </c>
      <c r="N31" s="34"/>
      <c r="O31" s="37" t="s">
        <v>1978</v>
      </c>
      <c r="P31" s="58">
        <v>261.38944000000004</v>
      </c>
      <c r="Q31" s="58">
        <f t="shared" si="5"/>
        <v>430.61161129200002</v>
      </c>
      <c r="R31" s="58">
        <v>421.56545141902018</v>
      </c>
      <c r="S31" s="58">
        <v>379.95766021851705</v>
      </c>
      <c r="T31" s="58">
        <v>339.41747449464452</v>
      </c>
      <c r="U31" s="36">
        <f t="shared" si="6"/>
        <v>0.19486411101255938</v>
      </c>
      <c r="V31" s="36">
        <f t="shared" si="7"/>
        <v>0.10669658745808021</v>
      </c>
    </row>
    <row r="32" spans="1:22" x14ac:dyDescent="0.3">
      <c r="A32" s="38"/>
      <c r="B32" s="41" t="s">
        <v>1978</v>
      </c>
      <c r="C32" s="55">
        <v>261.38944000000004</v>
      </c>
      <c r="D32" s="55" t="s">
        <v>1756</v>
      </c>
      <c r="E32" s="40" t="s">
        <v>1756</v>
      </c>
      <c r="F32" s="55">
        <v>430.61161129200002</v>
      </c>
      <c r="G32" s="40">
        <f>(F32-$C32)/F32</f>
        <v>0.39298097602214804</v>
      </c>
      <c r="H32" s="55">
        <v>339.41747449464452</v>
      </c>
      <c r="I32" s="42">
        <f>(H32-$C32)/H32</f>
        <v>0.22988808873444036</v>
      </c>
      <c r="J32" s="40">
        <f>(F32-H32)/F32</f>
        <v>0.21177816483800357</v>
      </c>
      <c r="N32" s="34"/>
      <c r="O32" s="35" t="s">
        <v>1979</v>
      </c>
      <c r="P32" s="58">
        <v>293.09539999999998</v>
      </c>
      <c r="Q32" s="58">
        <f t="shared" si="5"/>
        <v>491.96493523199996</v>
      </c>
      <c r="R32" s="58">
        <v>481.57574370294225</v>
      </c>
      <c r="S32" s="58">
        <v>431.24623052000686</v>
      </c>
      <c r="T32" s="58">
        <v>371.5808050906582</v>
      </c>
      <c r="U32" s="36">
        <f t="shared" si="6"/>
        <v>0.22840631001575926</v>
      </c>
      <c r="V32" s="36">
        <f t="shared" si="7"/>
        <v>0.13835581903499233</v>
      </c>
    </row>
    <row r="33" spans="1:22" x14ac:dyDescent="0.3">
      <c r="A33" s="43"/>
      <c r="B33" s="44" t="s">
        <v>1979</v>
      </c>
      <c r="C33" s="56">
        <v>293.09539999999998</v>
      </c>
      <c r="D33" s="56" t="s">
        <v>1756</v>
      </c>
      <c r="E33" s="45" t="s">
        <v>1756</v>
      </c>
      <c r="F33" s="56">
        <v>491.96493523199996</v>
      </c>
      <c r="G33" s="45">
        <f>(F33-$C33)/F33</f>
        <v>0.40423518220504362</v>
      </c>
      <c r="H33" s="56">
        <v>371.5808050906582</v>
      </c>
      <c r="I33" s="46">
        <f>(H33-$C33)/H33</f>
        <v>0.21122028914144089</v>
      </c>
      <c r="J33" s="45">
        <f>(F33-H33)/F33</f>
        <v>0.24470063112236082</v>
      </c>
      <c r="N33" s="47" t="s">
        <v>1981</v>
      </c>
      <c r="O33" s="48" t="s">
        <v>1971</v>
      </c>
      <c r="P33" s="54">
        <v>129.15325999999999</v>
      </c>
      <c r="Q33" s="54">
        <f t="shared" si="5"/>
        <v>256.49361001799997</v>
      </c>
      <c r="R33" s="54">
        <v>251.5872844563583</v>
      </c>
      <c r="S33" s="54">
        <v>189.25452207400048</v>
      </c>
      <c r="T33" s="54">
        <v>186.29382148579165</v>
      </c>
      <c r="U33" s="49">
        <f t="shared" si="6"/>
        <v>0.2595260849993109</v>
      </c>
      <c r="V33" s="49">
        <f t="shared" si="7"/>
        <v>1.5644015032048528E-2</v>
      </c>
    </row>
    <row r="34" spans="1:22" x14ac:dyDescent="0.3">
      <c r="A34" s="38" t="s">
        <v>1981</v>
      </c>
      <c r="B34" s="39" t="s">
        <v>1971</v>
      </c>
      <c r="C34" s="55">
        <v>129.15325999999999</v>
      </c>
      <c r="D34" s="55">
        <v>1655.5501310334209</v>
      </c>
      <c r="E34" s="40">
        <f>(D34-C34)/D34</f>
        <v>0.92198770814666875</v>
      </c>
      <c r="F34" s="55">
        <v>256.49361001799997</v>
      </c>
      <c r="G34" s="40">
        <f>(F34-$C34)/F34</f>
        <v>0.49646597437286494</v>
      </c>
      <c r="H34" s="55">
        <v>186.29382148579165</v>
      </c>
      <c r="I34" s="42">
        <f>(H34-$C34)/H34</f>
        <v>0.30672279429379623</v>
      </c>
      <c r="J34" s="40">
        <f>(F34-H34)/F34</f>
        <v>0.27369020431846974</v>
      </c>
      <c r="N34" s="38"/>
      <c r="O34" s="41" t="s">
        <v>1973</v>
      </c>
      <c r="P34" s="55">
        <v>373.14380000000006</v>
      </c>
      <c r="Q34" s="55">
        <f t="shared" si="5"/>
        <v>741.18630408199999</v>
      </c>
      <c r="R34" s="55">
        <v>741.18630408235981</v>
      </c>
      <c r="S34" s="55">
        <v>642.67771367325133</v>
      </c>
      <c r="T34" s="55">
        <v>567.31309182289647</v>
      </c>
      <c r="U34" s="40">
        <f t="shared" si="6"/>
        <v>0.23458772956514687</v>
      </c>
      <c r="V34" s="40">
        <f t="shared" si="7"/>
        <v>0.11726658673070398</v>
      </c>
    </row>
    <row r="35" spans="1:22" x14ac:dyDescent="0.3">
      <c r="A35" s="38"/>
      <c r="B35" s="41" t="s">
        <v>1973</v>
      </c>
      <c r="C35" s="55">
        <v>373.14380000000006</v>
      </c>
      <c r="D35" s="55" t="s">
        <v>1756</v>
      </c>
      <c r="E35" s="40" t="s">
        <v>1756</v>
      </c>
      <c r="F35" s="55">
        <v>741.18630408199999</v>
      </c>
      <c r="G35" s="40">
        <f>(F35-$C35)/F35</f>
        <v>0.49655869523633578</v>
      </c>
      <c r="H35" s="55">
        <v>567.31309182289647</v>
      </c>
      <c r="I35" s="42">
        <f>(H35-$C35)/H35</f>
        <v>0.34226125682908104</v>
      </c>
      <c r="J35" s="40">
        <f>(F35-H35)/F35</f>
        <v>0.2345877295647753</v>
      </c>
      <c r="N35" s="38"/>
      <c r="O35" s="39" t="s">
        <v>1975</v>
      </c>
      <c r="P35" s="55"/>
      <c r="Q35" s="55">
        <f t="shared" si="5"/>
        <v>1268.24407402</v>
      </c>
      <c r="R35" s="55">
        <v>1268.2440740187626</v>
      </c>
      <c r="S35" s="55">
        <v>1243.0955494265522</v>
      </c>
      <c r="T35" s="55">
        <v>1144.765354717845</v>
      </c>
      <c r="U35" s="40">
        <f t="shared" si="6"/>
        <v>9.7361952506226243E-2</v>
      </c>
      <c r="V35" s="40">
        <f t="shared" si="7"/>
        <v>7.9101075338953317E-2</v>
      </c>
    </row>
    <row r="36" spans="1:22" x14ac:dyDescent="0.3">
      <c r="A36" s="38"/>
      <c r="B36" s="39" t="s">
        <v>1975</v>
      </c>
      <c r="C36" s="55" t="s">
        <v>1756</v>
      </c>
      <c r="D36" s="55" t="s">
        <v>1756</v>
      </c>
      <c r="E36" s="40" t="s">
        <v>1756</v>
      </c>
      <c r="F36" s="55">
        <v>1268.24407402</v>
      </c>
      <c r="G36" s="40" t="s">
        <v>1756</v>
      </c>
      <c r="H36" s="55">
        <v>1144.765354717845</v>
      </c>
      <c r="I36" s="40" t="s">
        <v>1756</v>
      </c>
      <c r="J36" s="40">
        <f>(F36-H36)/F36</f>
        <v>9.7361952507106914E-2</v>
      </c>
      <c r="N36" s="38"/>
      <c r="O36" s="39" t="s">
        <v>1977</v>
      </c>
      <c r="P36" s="55"/>
      <c r="Q36" s="55">
        <f t="shared" si="5"/>
        <v>1828.29802346</v>
      </c>
      <c r="R36" s="55">
        <v>1828.2980234603281</v>
      </c>
      <c r="S36" s="55">
        <v>1818.2487902093544</v>
      </c>
      <c r="T36" s="55">
        <v>1732.6139867206371</v>
      </c>
      <c r="U36" s="40">
        <f t="shared" si="6"/>
        <v>5.2335032643416976E-2</v>
      </c>
      <c r="V36" s="40">
        <f t="shared" si="7"/>
        <v>4.7097407103929546E-2</v>
      </c>
    </row>
    <row r="37" spans="1:22" x14ac:dyDescent="0.3">
      <c r="A37" s="38"/>
      <c r="B37" s="39" t="s">
        <v>1977</v>
      </c>
      <c r="C37" s="55" t="s">
        <v>1756</v>
      </c>
      <c r="D37" s="55" t="s">
        <v>1756</v>
      </c>
      <c r="E37" s="40" t="s">
        <v>1756</v>
      </c>
      <c r="F37" s="55">
        <v>1828.29802346</v>
      </c>
      <c r="G37" s="40" t="s">
        <v>1756</v>
      </c>
      <c r="H37" s="55">
        <v>1732.6139867206371</v>
      </c>
      <c r="I37" s="40" t="s">
        <v>1756</v>
      </c>
      <c r="J37" s="40">
        <f>(F37-H37)/F37</f>
        <v>5.2335032643246911E-2</v>
      </c>
      <c r="N37" s="43"/>
      <c r="O37" s="44" t="s">
        <v>1979</v>
      </c>
      <c r="P37" s="56"/>
      <c r="Q37" s="56">
        <f t="shared" si="5"/>
        <v>2541.6297117019999</v>
      </c>
      <c r="R37" s="56">
        <v>2541.6297117039926</v>
      </c>
      <c r="S37" s="56">
        <v>2528.2739610711092</v>
      </c>
      <c r="T37" s="56">
        <v>2426.2883292785491</v>
      </c>
      <c r="U37" s="45">
        <f t="shared" si="6"/>
        <v>4.5380875858629627E-2</v>
      </c>
      <c r="V37" s="45">
        <f t="shared" si="7"/>
        <v>4.033804617809441E-2</v>
      </c>
    </row>
    <row r="38" spans="1:22" x14ac:dyDescent="0.3">
      <c r="A38" s="43"/>
      <c r="B38" s="44" t="s">
        <v>1979</v>
      </c>
      <c r="C38" s="56" t="s">
        <v>1756</v>
      </c>
      <c r="D38" s="56" t="s">
        <v>1756</v>
      </c>
      <c r="E38" s="45" t="s">
        <v>1756</v>
      </c>
      <c r="F38" s="56">
        <v>2541.6297117019999</v>
      </c>
      <c r="G38" s="45" t="s">
        <v>1756</v>
      </c>
      <c r="H38" s="56">
        <v>2426.2883292785491</v>
      </c>
      <c r="I38" s="45" t="s">
        <v>1756</v>
      </c>
      <c r="J38" s="45">
        <f>(F38-H38)/F38</f>
        <v>4.5380875857881184E-2</v>
      </c>
    </row>
  </sheetData>
  <mergeCells count="13">
    <mergeCell ref="Q21:T21"/>
    <mergeCell ref="U21:V21"/>
    <mergeCell ref="N23:N32"/>
    <mergeCell ref="N33:N37"/>
    <mergeCell ref="N21:O21"/>
    <mergeCell ref="P21:P22"/>
    <mergeCell ref="H22:J22"/>
    <mergeCell ref="F22:G22"/>
    <mergeCell ref="D22:E22"/>
    <mergeCell ref="A24:A33"/>
    <mergeCell ref="A34:A38"/>
    <mergeCell ref="A22:B22"/>
    <mergeCell ref="C22:C23"/>
  </mergeCells>
  <phoneticPr fontId="2" type="noConversion"/>
  <conditionalFormatting sqref="D24:I35 E37:F38 D36:F36 H36:H38">
    <cfRule type="expression" dxfId="6" priority="7">
      <formula>D24=MIN($D24, $F24, $H24)</formula>
    </cfRule>
  </conditionalFormatting>
  <conditionalFormatting sqref="Q23:T37">
    <cfRule type="expression" dxfId="5" priority="5">
      <formula>Q23=MIN($Q23:$T23)</formula>
    </cfRule>
  </conditionalFormatting>
  <conditionalFormatting sqref="C37:D38">
    <cfRule type="expression" dxfId="3" priority="4">
      <formula>C37=MIN($D37, $F37, $H37)</formula>
    </cfRule>
  </conditionalFormatting>
  <conditionalFormatting sqref="C36">
    <cfRule type="expression" dxfId="2" priority="3">
      <formula>C36=MIN($D36, $F36, $H36)</formula>
    </cfRule>
  </conditionalFormatting>
  <conditionalFormatting sqref="G36:G38">
    <cfRule type="expression" dxfId="1" priority="2">
      <formula>G36=MIN($D36, $F36, $H36)</formula>
    </cfRule>
  </conditionalFormatting>
  <conditionalFormatting sqref="I36:I38">
    <cfRule type="expression" dxfId="0" priority="1">
      <formula>I36=MIN($D36, $F36, $H36)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48F82-AAAE-4E2F-89F7-D00038A3F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summary</vt:lpstr>
      <vt:lpstr>FCFS</vt:lpstr>
      <vt:lpstr>pivot</vt:lpstr>
      <vt:lpstr>clean stats</vt:lpstr>
      <vt:lpstr>comparison</vt:lpstr>
      <vt:lpstr>rule vs no rule</vt:lpstr>
      <vt:lpstr>rule vs cplex &amp; zhen</vt:lpstr>
      <vt:lpstr>rule vs fcfs</vt:lpstr>
      <vt:lpstr>better display</vt:lpstr>
      <vt:lpstr>model and algorithm</vt:lpstr>
      <vt:lpstr>Sheet1</vt:lpstr>
      <vt:lpstr>model simple</vt:lpstr>
      <vt:lpstr>model hard</vt:lpstr>
      <vt:lpstr>algorithm simple</vt:lpstr>
      <vt:lpstr>algorithm hard</vt:lpstr>
      <vt:lpstr>all results</vt:lpstr>
      <vt:lpstr>analyze all results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</dc:creator>
  <cp:lastModifiedBy>Yu Liu</cp:lastModifiedBy>
  <dcterms:created xsi:type="dcterms:W3CDTF">2015-06-05T18:19:34Z</dcterms:created>
  <dcterms:modified xsi:type="dcterms:W3CDTF">2025-11-26T17:18:58Z</dcterms:modified>
</cp:coreProperties>
</file>